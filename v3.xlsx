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a13bd8fee942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ec136725082b4a7f"/>
    <x:sheet xmlns:r="http://schemas.openxmlformats.org/officeDocument/2006/relationships" name="物品" sheetId="2" r:id="R8cf8880481c6480f"/>
    <x:sheet xmlns:r="http://schemas.openxmlformats.org/officeDocument/2006/relationships" name="建筑配方" sheetId="3" r:id="Rc521db615877463c"/>
    <x:sheet xmlns:r="http://schemas.openxmlformats.org/officeDocument/2006/relationships" name="大件链条" sheetId="4" r:id="R822d5883908647b2"/>
    <x:sheet xmlns:r="http://schemas.openxmlformats.org/officeDocument/2006/relationships" name="合并记录" sheetId="5" r:id="R2b5bb64d828d4c46"/>
  </x:sheets>
</x:workbook>
</file>

<file path=xl/sharedStrings.xml><?xml version="1.0" encoding="utf-8"?>
<x:sst xmlns:x="http://schemas.openxmlformats.org/spreadsheetml/2006/main">
  <x:si>
    <x:t xml:space="preserve">一、设计思路</x:t>
  </x:si>
  <x:si>
    <x:r>
      <x:rPr>
        <x:sz val="10"/>
        <x:rFont val="Arial"/>
      </x:rPr>
      <x:t xml:space="preserve">1. </x:t>
    </x:r>
    <x:r>
      <x:rPr>
        <x:sz val="10"/>
        <x:rFont val="Noto Sans CJK SC"/>
        <x:family val="2"/>
      </x:rPr>
      <x:t xml:space="preserve">中间产物往两个方向发展：往上组成大件（住宅、汽车、家电，靠足够多的零部件与总成拉出深链条），往旁分出不同功效的日常用品。</x:t>
    </x:r>
  </x:si>
  <x:si>
    <x:r>
      <x:rPr>
        <x:sz val="10"/>
        <x:rFont val="Arial"/>
      </x:rPr>
      <x:t xml:space="preserve">2. </x:t>
    </x:r>
    <x:r>
      <x:rPr>
        <x:sz val="10"/>
        <x:rFont val="Noto Sans CJK SC"/>
        <x:family val="2"/>
      </x:rPr>
      <x:t xml:space="preserve">大件靠“预支”：银行放贷 → 信用额度 → 分期购买 → 债务合同。债务是固定开销，让目标收入变刚性，压住躺平。</x:t>
    </x:r>
  </x:si>
  <x:si>
    <x:r>
      <x:rPr>
        <x:sz val="10"/>
        <x:rFont val="Arial"/>
      </x:rPr>
      <x:t xml:space="preserve">3. </x:t>
    </x:r>
    <x:r>
      <x:rPr>
        <x:sz val="10"/>
        <x:rFont val="Noto Sans CJK SC"/>
        <x:family val="2"/>
      </x:rPr>
      <x:t xml:space="preserve">拥有之后的问题用四类配方展开：使用（耗材、副作用）、维护（磨损后的备件与修理）、配套（家具、公路、管网、节目）、治理（污水处理、尾气净化）。</x:t>
    </x:r>
  </x:si>
  <x:si>
    <x:r>
      <x:rPr>
        <x:sz val="10"/>
        <x:rFont val="Arial"/>
      </x:rPr>
      <x:t xml:space="preserve">4. </x:t>
    </x:r>
    <x:r>
      <x:rPr>
        <x:sz val="10"/>
        <x:rFont val="Noto Sans CJK SC"/>
        <x:family val="2"/>
      </x:rPr>
      <x:t xml:space="preserve">日常用品必须写明“作用维度、解决的问题、源自哪个大件或场景”，缺任何一项，物品表的检查列报 ⚠。这是防止“换皮需求”的硬规则。</x:t>
    </x:r>
  </x:si>
  <x:si>
    <x:r>
      <x:rPr>
        <x:sz val="10"/>
        <x:rFont val="Arial"/>
      </x:rPr>
      <x:t xml:space="preserve">5. </x:t>
    </x:r>
    <x:r>
      <x:rPr>
        <x:sz val="10"/>
        <x:rFont val="Noto Sans CJK SC"/>
        <x:family val="2"/>
      </x:rPr>
      <x:t xml:space="preserve">新增维度让日常用品的功效互相区分：健康、整洁、耐久、状况（见下表）。没有这些，日用品都会塌缩成“饥饿 </x:t>
    </x:r>
    <x:r>
      <x:rPr>
        <x:sz val="10"/>
        <x:rFont val="Arial"/>
      </x:rPr>
      <x:t xml:space="preserve">+n / </x:t>
    </x:r>
    <x:r>
      <x:rPr>
        <x:sz val="10"/>
        <x:rFont val="Noto Sans CJK SC"/>
        <x:family val="2"/>
      </x:rPr>
      <x:t xml:space="preserve">心情 </x:t>
    </x:r>
    <x:r>
      <x:rPr>
        <x:sz val="10"/>
        <x:rFont val="Arial"/>
      </x:rPr>
      <x:t xml:space="preserve">+n”</x:t>
    </x:r>
    <x:r>
      <x:rPr>
        <x:sz val="10"/>
        <x:rFont val="Noto Sans CJK SC"/>
        <x:family val="2"/>
      </x:rPr>
      <x:t xml:space="preserve">。</x:t>
    </x:r>
  </x:si>
  <x:si>
    <x:t xml:space="preserve">二、维度速查</x:t>
  </x:si>
  <x:si>
    <x:t xml:space="preserve">维度</x:t>
  </x:si>
  <x:si>
    <x:t xml:space="preserve">作用对象</x:t>
  </x:si>
  <x:si>
    <x:t xml:space="preserve">性质</x:t>
  </x:si>
  <x:si>
    <x:t xml:space="preserve">下降来源</x:t>
  </x:si>
  <x:si>
    <x:r>
      <x:rPr>
        <x:b/>
        <x:sz val="10"/>
        <x:color rgb="FFFFFFFF"/>
        <x:rFont val="Noto Sans CJK SC"/>
        <x:family val="2"/>
      </x:rPr>
      <x:t xml:space="preserve">恢复 </x:t>
    </x:r>
    <x:r>
      <x:rPr>
        <x:b/>
        <x:sz val="10"/>
        <x:color rgb="FFFFFFFF"/>
        <x:rFont val="Arial"/>
      </x:rPr>
      <x:t xml:space="preserve">/ </x:t>
    </x:r>
    <x:r>
      <x:rPr>
        <x:b/>
        <x:sz val="10"/>
        <x:color rgb="FFFFFFFF"/>
        <x:rFont val="Noto Sans CJK SC"/>
        <x:family val="2"/>
      </x:rPr>
      <x:t xml:space="preserve">防护</x:t>
    </x:r>
  </x:si>
  <x:si>
    <x:t xml:space="preserve">状态</x:t>
  </x:si>
  <x:si>
    <x:t xml:space="preserve">饥饿</x:t>
  </x:si>
  <x:si>
    <x:t xml:space="preserve">小人</x:t>
  </x:si>
  <x:si>
    <x:t xml:space="preserve">快变量</x:t>
  </x:si>
  <x:si>
    <x:t xml:space="preserve">时间流逝</x:t>
  </x:si>
  <x:si>
    <x:t xml:space="preserve">食物（面包等）</x:t>
  </x:si>
  <x:si>
    <x:t xml:space="preserve">现有</x:t>
  </x:si>
  <x:si>
    <x:t xml:space="preserve">疲劳</x:t>
  </x:si>
  <x:si>
    <x:t xml:space="preserve">工作</x:t>
  </x:si>
  <x:si>
    <x:t xml:space="preserve">睡眠、休息、用餐（食堂、家具）、寝具</x:t>
  </x:si>
  <x:si>
    <x:t xml:space="preserve">心情</x:t>
  </x:si>
  <x:si>
    <x:t xml:space="preserve">中速</x:t>
  </x:si>
  <x:si>
    <x:t xml:space="preserve">拥挤、脏乱、机械建筑工作等</x:t>
  </x:si>
  <x:si>
    <x:t xml:space="preserve">床、享受品、服务</x:t>
  </x:si>
  <x:si>
    <x:t xml:space="preserve">健康</x:t>
  </x:si>
  <x:si>
    <x:t xml:space="preserve">慢变量，跨天</x:t>
  </x:si>
  <x:si>
    <x:t xml:space="preserve">废气与粉尘、工伤、过劳、低整洁、饥饿归零、饮用原水</x:t>
  </x:si>
  <x:si>
    <x:t xml:space="preserve">新增</x:t>
  </x:si>
  <x:si>
    <x:t xml:space="preserve">整洁</x:t>
  </x:si>
  <x:si>
    <x:t xml:space="preserve">脏污岗位、日常时间、衣物</x:t>
  </x:si>
  <x:si>
    <x:t xml:space="preserve">耐久</x:t>
  </x:si>
  <x:si>
    <x:t xml:space="preserve">物件（大件、工具）</x:t>
  </x:si>
  <x:si>
    <x:t xml:space="preserve">慢变量</x:t>
  </x:si>
  <x:si>
    <x:t xml:space="preserve">使用磨损</x:t>
  </x:si>
  <x:si>
    <x:r>
      <x:rPr>
        <x:sz val="10"/>
        <x:rFont val="Noto Sans CJK SC"/>
        <x:family val="2"/>
      </x:rPr>
      <x:t xml:space="preserve">润滑油减缓；备件 </x:t>
    </x:r>
    <x:r>
      <x:rPr>
        <x:sz val="10"/>
        <x:rFont val="Arial"/>
      </x:rPr>
      <x:t xml:space="preserve">+ </x:t>
    </x:r>
    <x:r>
      <x:rPr>
        <x:sz val="10"/>
        <x:rFont val="Noto Sans CJK SC"/>
        <x:family val="2"/>
      </x:rPr>
      <x:t xml:space="preserve">维修修复</x:t>
    </x:r>
  </x:si>
  <x:si>
    <x:t xml:space="preserve">状况</x:t>
  </x:si>
  <x:si>
    <x:t xml:space="preserve">住所</x:t>
  </x:si>
  <x:si>
    <x:t xml:space="preserve">自然老化</x:t>
  </x:si>
  <x:si>
    <x:t xml:space="preserve">修缮（屋瓦、木板、涂料）</x:t>
  </x:si>
  <x:si>
    <x:t xml:space="preserve">时间</x:t>
  </x:si>
  <x:si>
    <x:t xml:space="preserve">一天的时间预算</x:t>
  </x:si>
  <x:si>
    <x:t xml:space="preserve">预算</x:t>
  </x:si>
  <x:si>
    <x:t xml:space="preserve">通勤、进食、洗衣等占用</x:t>
  </x:si>
  <x:si>
    <x:t xml:space="preserve">速食、汽车、洗衣机省时</x:t>
  </x:si>
  <x:si>
    <x:t xml:space="preserve">现有概念</x:t>
  </x:si>
  <x:si>
    <x:t xml:space="preserve">污染</x:t>
  </x:si>
  <x:si>
    <x:t xml:space="preserve">地块环境</x:t>
  </x:si>
  <x:si>
    <x:t xml:space="preserve">场</x:t>
  </x:si>
  <x:si>
    <x:t xml:space="preserve">废气、废水</x:t>
  </x:si>
  <x:si>
    <x:t xml:space="preserve">污水处理厂、尾气净化器</x:t>
  </x:si>
  <x:si>
    <x:t xml:space="preserve">预支</x:t>
  </x:si>
  <x:si>
    <x:t xml:space="preserve">固定开销</x:t>
  </x:si>
  <x:si>
    <x:t xml:space="preserve">分期购买大件</x:t>
  </x:si>
  <x:si>
    <x:t xml:space="preserve">收贷（还款）</x:t>
  </x:si>
  <x:si>
    <x:t xml:space="preserve">三、工作表</x:t>
  </x:si>
  <x:si>
    <x:t xml:space="preserve">物品</x:t>
  </x:si>
  <x:si>
    <x:t xml:space="preserve">全部物品：层级、作用维度、问题来源；自动检查孤儿物品与缺失说明的日常用品。</x:t>
  </x:si>
  <x:si>
    <x:t xml:space="preserve">建筑配方</x:t>
  </x:si>
  <x:si>
    <x:r>
      <x:rPr>
        <x:sz val="10"/>
        <x:rFont val="Noto Sans CJK SC"/>
        <x:family val="2"/>
      </x:rPr>
      <x:t xml:space="preserve">一行一个配方（输入</x:t>
    </x:r>
    <x:r>
      <x:rPr>
        <x:sz val="10"/>
        <x:rFont val="Arial"/>
      </x:rPr>
      <x:t xml:space="preserve">1–6 → </x:t>
    </x:r>
    <x:r>
      <x:rPr>
        <x:sz val="10"/>
        <x:rFont val="Noto Sans CJK SC"/>
        <x:family val="2"/>
      </x:rPr>
      <x:t xml:space="preserve">主产出 </x:t>
    </x:r>
    <x:r>
      <x:rPr>
        <x:sz val="10"/>
        <x:rFont val="Arial"/>
      </x:rPr>
      <x:t xml:space="preserve">/ </x:t>
    </x:r>
    <x:r>
      <x:rPr>
        <x:sz val="10"/>
        <x:rFont val="Noto Sans CJK SC"/>
        <x:family val="2"/>
      </x:rPr>
      <x:t xml:space="preserve">副产出）；含“使用 </x:t>
    </x:r>
    <x:r>
      <x:rPr>
        <x:sz val="10"/>
        <x:rFont val="Arial"/>
      </x:rPr>
      <x:t xml:space="preserve">/ </x:t>
    </x:r>
    <x:r>
      <x:rPr>
        <x:sz val="10"/>
        <x:rFont val="Noto Sans CJK SC"/>
        <x:family val="2"/>
      </x:rPr>
      <x:t xml:space="preserve">维护 </x:t>
    </x:r>
    <x:r>
      <x:rPr>
        <x:sz val="10"/>
        <x:rFont val="Arial"/>
      </x:rPr>
      <x:t xml:space="preserve">/ </x:t>
    </x:r>
    <x:r>
      <x:rPr>
        <x:sz val="10"/>
        <x:rFont val="Noto Sans CJK SC"/>
        <x:family val="2"/>
      </x:rPr>
      <x:t xml:space="preserve">服务”三类拥有后的配方。</x:t>
    </x:r>
  </x:si>
  <x:si>
    <x:t xml:space="preserve">大件链条</x:t>
  </x:si>
  <x:si>
    <x:t xml:space="preserve">自动汇总每个大件拉出多少耗材、维护、配套；以及关键中间品向下分化出多少日常用品。</x:t>
  </x:si>
  <x:si>
    <x:t xml:space="preserve">四、说明与假设</x:t>
  </x:si>
  <x:si>
    <x:t xml:space="preserve">• 层级色：原料（灰）、初级材料（浅灰）、零部件（浅蓝）、总成（蓝）、大件（橙）、日常用品（绿）、服务品（紫）、基础设施（黄）。</x:t>
  </x:si>
  <x:si>
    <x:r>
      <x:rPr>
        <x:sz val="10"/>
        <x:rFont val="Noto Sans CJK SC"/>
        <x:family val="2"/>
      </x:rPr>
      <x:t xml:space="preserve">• 所有生产 </x:t>
    </x:r>
    <x:r>
      <x:rPr>
        <x:sz val="10"/>
        <x:rFont val="Arial"/>
      </x:rPr>
      <x:t xml:space="preserve">/ </x:t>
    </x:r>
    <x:r>
      <x:rPr>
        <x:sz val="10"/>
        <x:rFont val="Noto Sans CJK SC"/>
        <x:family val="2"/>
      </x:rPr>
      <x:t xml:space="preserve">维护 </x:t>
    </x:r>
    <x:r>
      <x:rPr>
        <x:sz val="10"/>
        <x:rFont val="Arial"/>
      </x:rPr>
      <x:t xml:space="preserve">/ </x:t>
    </x:r>
    <x:r>
      <x:rPr>
        <x:sz val="10"/>
        <x:rFont val="Noto Sans CJK SC"/>
        <x:family val="2"/>
      </x:rPr>
      <x:t xml:space="preserve">服务配方默认需要劳动（不单列）；“使用”配方由拥有者自己执行，不占劳动。</x:t>
    </x:r>
  </x:si>
  <x:si>
    <x:t xml:space="preserve">• “燃料”是抽象物品（煤或木炭均可）。“需电”标“待确认”的，是你现有设计中我不知道的部分。</x:t>
  </x:si>
  <x:si>
    <x:r>
      <x:rPr>
        <x:sz val="10"/>
        <x:rFont val="Noto Sans CJK SC"/>
        <x:family val="2"/>
      </x:rPr>
      <x:t xml:space="preserve">• 状态列：现有 </x:t>
    </x:r>
    <x:r>
      <x:rPr>
        <x:sz val="10"/>
        <x:rFont val="Arial"/>
      </x:rPr>
      <x:t xml:space="preserve">= </x:t>
    </x:r>
    <x:r>
      <x:rPr>
        <x:sz val="10"/>
        <x:rFont val="Noto Sans CJK SC"/>
        <x:family val="2"/>
      </x:rPr>
      <x:t xml:space="preserve">来自你的设计文案；现有</x:t>
    </x:r>
    <x:r>
      <x:rPr>
        <x:sz val="10"/>
        <x:rFont val="Arial"/>
      </x:rPr>
      <x:t xml:space="preserve">(</x:t>
    </x:r>
    <x:r>
      <x:rPr>
        <x:sz val="10"/>
        <x:rFont val="Noto Sans CJK SC"/>
        <x:family val="2"/>
      </x:rPr>
      <x:t xml:space="preserve">配方待补</x:t>
    </x:r>
    <x:r>
      <x:rPr>
        <x:sz val="10"/>
        <x:rFont val="Arial"/>
      </x:rPr>
      <x:t xml:space="preserve">) = </x:t>
    </x:r>
    <x:r>
      <x:rPr>
        <x:sz val="10"/>
        <x:rFont val="Noto Sans CJK SC"/>
        <x:family val="2"/>
      </x:rPr>
      <x:t xml:space="preserve">物品存在但输入配方我不知道；规划 </x:t>
    </x:r>
    <x:r>
      <x:rPr>
        <x:sz val="10"/>
        <x:rFont val="Arial"/>
      </x:rPr>
      <x:t xml:space="preserve">= </x:t>
    </x:r>
    <x:r>
      <x:rPr>
        <x:sz val="10"/>
        <x:rFont val="Noto Sans CJK SC"/>
        <x:family val="2"/>
      </x:rPr>
      <x:t xml:space="preserve">你的新建筑清单；可选 </x:t>
    </x:r>
    <x:r>
      <x:rPr>
        <x:sz val="10"/>
        <x:rFont val="Arial"/>
      </x:rPr>
      <x:t xml:space="preserve">= </x:t>
    </x:r>
    <x:r>
      <x:rPr>
        <x:sz val="10"/>
        <x:rFont val="Noto Sans CJK SC"/>
        <x:family val="2"/>
      </x:rPr>
      <x:t xml:space="preserve">备选方案；新增 </x:t>
    </x:r>
    <x:r>
      <x:rPr>
        <x:sz val="10"/>
        <x:rFont val="Arial"/>
      </x:rPr>
      <x:t xml:space="preserve">= </x:t>
    </x:r>
    <x:r>
      <x:rPr>
        <x:sz val="10"/>
        <x:rFont val="Noto Sans CJK SC"/>
        <x:family val="2"/>
      </x:rPr>
      <x:t xml:space="preserve">本表提出。</x:t>
    </x:r>
  </x:si>
  <x:si>
    <x:t xml:space="preserve">• 废气没有处理建筑（刻意保留）：由尾气净化器减轻，其余靠口罩与健康承担，让“外部性”留在小人身上。</x:t>
  </x:si>
  <x:si>
    <x:t xml:space="preserve">• 相对上一版，删除了只换皮的物品：麦粥、硬面饼、奶酪、罐头、瓶装饮料、玻璃器皿、木雕摆件、乐器、报纸、工作服，以及它们专属的建筑。</x:t>
  </x:si>
  <x:si>
    <x:t xml:space="preserve">物品表</x:t>
  </x:si>
  <x:si>
    <x:t xml:space="preserve">层级：原料 → 初级材料 → 零部件 → 总成 → 大件；中间产物往上组成大件，往旁分出不同功效的日常用品。检查列自动运行。</x:t>
  </x:si>
  <x:si>
    <x:t xml:space="preserve">ID</x:t>
  </x:si>
  <x:si>
    <x:t xml:space="preserve">时代</x:t>
  </x:si>
  <x:si>
    <x:t xml:space="preserve">层级</x:t>
  </x:si>
  <x:si>
    <x:t xml:space="preserve">类别</x:t>
  </x:si>
  <x:si>
    <x:t xml:space="preserve">作用维度</x:t>
  </x:si>
  <x:si>
    <x:r>
      <x:rPr>
        <x:b/>
        <x:sz val="10"/>
        <x:color rgb="FFFFFFFF"/>
        <x:rFont val="Noto Sans CJK SC"/>
        <x:family val="2"/>
      </x:rPr>
      <x:t xml:space="preserve">解决的问题 </x:t>
    </x:r>
    <x:r>
      <x:rPr>
        <x:b/>
        <x:sz val="10"/>
        <x:color rgb="FFFFFFFF"/>
        <x:rFont val="Arial"/>
      </x:rPr>
      <x:t xml:space="preserve">/ </x:t>
    </x:r>
    <x:r>
      <x:rPr>
        <x:b/>
        <x:sz val="10"/>
        <x:color rgb="FFFFFFFF"/>
        <x:rFont val="Noto Sans CJK SC"/>
        <x:family val="2"/>
      </x:rPr>
      <x:t xml:space="preserve">功效</x:t>
    </x:r>
  </x:si>
  <x:si>
    <x:r>
      <x:rPr>
        <x:b/>
        <x:sz val="10"/>
        <x:color rgb="FFFFFFFF"/>
        <x:rFont val="Noto Sans CJK SC"/>
        <x:family val="2"/>
      </x:rPr>
      <x:t xml:space="preserve">源自（大件 </x:t>
    </x:r>
    <x:r>
      <x:rPr>
        <x:b/>
        <x:sz val="10"/>
        <x:color rgb="FFFFFFFF"/>
        <x:rFont val="Arial"/>
      </x:rPr>
      <x:t xml:space="preserve">/ </x:t>
    </x:r>
    <x:r>
      <x:rPr>
        <x:b/>
        <x:sz val="10"/>
        <x:color rgb="FFFFFFFF"/>
        <x:rFont val="Noto Sans CJK SC"/>
        <x:family val="2"/>
      </x:rPr>
      <x:t xml:space="preserve">场景）</x:t>
    </x:r>
  </x:si>
  <x:si>
    <x:t xml:space="preserve">购买方式</x:t>
  </x:si>
  <x:si>
    <x:t xml:space="preserve">备注</x:t>
  </x:si>
  <x:si>
    <x:t xml:space="preserve">产出配方数</x:t>
  </x:si>
  <x:si>
    <x:t xml:space="preserve">被消耗配方数</x:t>
  </x:si>
  <x:si>
    <x:t xml:space="preserve">检查</x:t>
  </x:si>
  <x:si>
    <x:r>
      <x:rPr>
        <x:b/>
        <x:sz val="14"/>
        <x:rFont val="Noto Sans CJK SC"/>
        <x:family val="2"/>
      </x:rPr>
      <x:t xml:space="preserve">建筑与配方表（只写输入 </x:t>
    </x:r>
    <x:r>
      <x:rPr>
        <x:b/>
        <x:sz val="14"/>
        <x:rFont val="Arial"/>
      </x:rPr>
      <x:t xml:space="preserve">/ </x:t>
    </x:r>
    <x:r>
      <x:rPr>
        <x:b/>
        <x:sz val="14"/>
        <x:rFont val="Noto Sans CJK SC"/>
        <x:family val="2"/>
      </x:rPr>
      <x:t xml:space="preserve">输出，不写数量）</x:t>
    </x:r>
  </x:si>
  <x:si>
    <x:r>
      <x:rPr>
        <x:i/>
        <x:sz val="10"/>
        <x:color rgb="FF595959"/>
        <x:rFont val="Noto Sans CJK SC"/>
        <x:family val="2"/>
      </x:rPr>
      <x:t xml:space="preserve">类型：生产 </x:t>
    </x:r>
    <x:r>
      <x:rPr>
        <x:i/>
        <x:sz val="10"/>
        <x:color rgb="FF595959"/>
        <x:rFont val="Arial"/>
      </x:rPr>
      <x:t xml:space="preserve">= </x:t>
    </x:r>
    <x:r>
      <x:rPr>
        <x:i/>
        <x:sz val="10"/>
        <x:color rgb="FF595959"/>
        <x:rFont val="Noto Sans CJK SC"/>
        <x:family val="2"/>
      </x:rPr>
      <x:t xml:space="preserve">把输入加工成产出；使用 </x:t>
    </x:r>
    <x:r>
      <x:rPr>
        <x:i/>
        <x:sz val="10"/>
        <x:color rgb="FF595959"/>
        <x:rFont val="Arial"/>
      </x:rPr>
      <x:t xml:space="preserve">= </x:t>
    </x:r>
    <x:r>
      <x:rPr>
        <x:i/>
        <x:sz val="10"/>
        <x:color rgb="FF595959"/>
        <x:rFont val="Noto Sans CJK SC"/>
        <x:family val="2"/>
      </x:rPr>
      <x:t xml:space="preserve">小人拥有大件后的耗材与副作用（建筑栏填大件本身）；维护 </x:t>
    </x:r>
    <x:r>
      <x:rPr>
        <x:i/>
        <x:sz val="10"/>
        <x:color rgb="FF595959"/>
        <x:rFont val="Arial"/>
      </x:rPr>
      <x:t xml:space="preserve">= </x:t>
    </x:r>
    <x:r>
      <x:rPr>
        <x:i/>
        <x:sz val="10"/>
        <x:color rgb="FF595959"/>
        <x:rFont val="Noto Sans CJK SC"/>
        <x:family val="2"/>
      </x:rPr>
      <x:t xml:space="preserve">磨损后的修复；服务 </x:t>
    </x:r>
    <x:r>
      <x:rPr>
        <x:i/>
        <x:sz val="10"/>
        <x:color rgb="FF595959"/>
        <x:rFont val="Arial"/>
      </x:rPr>
      <x:t xml:space="preserve">= </x:t>
    </x:r>
    <x:r>
      <x:rPr>
        <x:i/>
        <x:sz val="10"/>
        <x:color rgb="FF595959"/>
        <x:rFont val="Noto Sans CJK SC"/>
        <x:family val="2"/>
      </x:rPr>
      <x:t xml:space="preserve">公共服务与金融。大件交付给买家的部分不在配方里表现。</x:t>
    </x:r>
  </x:si>
  <x:si>
    <x:t xml:space="preserve">建筑（或拥有物）</x:t>
  </x:si>
  <x:si>
    <x:t xml:space="preserve">类型</x:t>
  </x:si>
  <x:si>
    <x:t xml:space="preserve">配方</x:t>
  </x:si>
  <x:si>
    <x:r>
      <x:rPr>
        <x:b/>
        <x:sz val="10"/>
        <x:color rgb="FFFFFFFF"/>
        <x:rFont val="Noto Sans CJK SC"/>
        <x:family val="2"/>
      </x:rPr>
      <x:t xml:space="preserve">输入</x:t>
    </x:r>
    <x:r>
      <x:rPr>
        <x:b/>
        <x:sz val="10"/>
        <x:color rgb="FFFFFFFF"/>
        <x:rFont val="Arial"/>
      </x:rPr>
      <x:t xml:space="preserve">1</x:t>
    </x:r>
  </x:si>
  <x:si>
    <x:r>
      <x:rPr>
        <x:b/>
        <x:sz val="10"/>
        <x:color rgb="FFFFFFFF"/>
        <x:rFont val="Noto Sans CJK SC"/>
        <x:family val="2"/>
      </x:rPr>
      <x:t xml:space="preserve">输入</x:t>
    </x:r>
    <x:r>
      <x:rPr>
        <x:b/>
        <x:sz val="10"/>
        <x:color rgb="FFFFFFFF"/>
        <x:rFont val="Arial"/>
      </x:rPr>
      <x:t xml:space="preserve">2</x:t>
    </x:r>
  </x:si>
  <x:si>
    <x:r>
      <x:rPr>
        <x:b/>
        <x:sz val="10"/>
        <x:color rgb="FFFFFFFF"/>
        <x:rFont val="Noto Sans CJK SC"/>
        <x:family val="2"/>
      </x:rPr>
      <x:t xml:space="preserve">输入</x:t>
    </x:r>
    <x:r>
      <x:rPr>
        <x:b/>
        <x:sz val="10"/>
        <x:color rgb="FFFFFFFF"/>
        <x:rFont val="Arial"/>
      </x:rPr>
      <x:t xml:space="preserve">3</x:t>
    </x:r>
  </x:si>
  <x:si>
    <x:r>
      <x:rPr>
        <x:b/>
        <x:sz val="10"/>
        <x:color rgb="FFFFFFFF"/>
        <x:rFont val="Noto Sans CJK SC"/>
        <x:family val="2"/>
      </x:rPr>
      <x:t xml:space="preserve">输入</x:t>
    </x:r>
    <x:r>
      <x:rPr>
        <x:b/>
        <x:sz val="10"/>
        <x:color rgb="FFFFFFFF"/>
        <x:rFont val="Arial"/>
      </x:rPr>
      <x:t xml:space="preserve">4</x:t>
    </x:r>
  </x:si>
  <x:si>
    <x:r>
      <x:rPr>
        <x:b/>
        <x:sz val="10"/>
        <x:color rgb="FFFFFFFF"/>
        <x:rFont val="Noto Sans CJK SC"/>
        <x:family val="2"/>
      </x:rPr>
      <x:t xml:space="preserve">输入</x:t>
    </x:r>
    <x:r>
      <x:rPr>
        <x:b/>
        <x:sz val="10"/>
        <x:color rgb="FFFFFFFF"/>
        <x:rFont val="Arial"/>
      </x:rPr>
      <x:t xml:space="preserve">5</x:t>
    </x:r>
  </x:si>
  <x:si>
    <x:r>
      <x:rPr>
        <x:b/>
        <x:sz val="10"/>
        <x:color rgb="FFFFFFFF"/>
        <x:rFont val="Noto Sans CJK SC"/>
        <x:family val="2"/>
      </x:rPr>
      <x:t xml:space="preserve">输入</x:t>
    </x:r>
    <x:r>
      <x:rPr>
        <x:b/>
        <x:sz val="10"/>
        <x:color rgb="FFFFFFFF"/>
        <x:rFont val="Arial"/>
      </x:rPr>
      <x:t xml:space="preserve">6</x:t>
    </x:r>
  </x:si>
  <x:si>
    <x:t xml:space="preserve">主产出</x:t>
  </x:si>
  <x:si>
    <x:t xml:space="preserve">副产出</x:t>
  </x:si>
  <x:si>
    <x:t xml:space="preserve">需电</x:t>
  </x:si>
  <x:si>
    <x:t xml:space="preserve">关联大件</x:t>
  </x:si>
  <x:si>
    <x:t xml:space="preserve">说明</x:t>
  </x:si>
  <x:si>
    <x:t xml:space="preserve">产出层级</x:t>
  </x:si>
  <x:si>
    <x:r>
      <x:rPr>
        <x:b/>
        <x:sz val="14"/>
        <x:rFont val="Noto Sans CJK SC"/>
        <x:family val="2"/>
      </x:rPr>
      <x:t xml:space="preserve">大件链条：拥有 </x:t>
    </x:r>
    <x:r>
      <x:rPr>
        <x:b/>
        <x:sz val="14"/>
        <x:rFont val="Arial"/>
      </x:rPr>
      <x:t xml:space="preserve">A </x:t>
    </x:r>
    <x:r>
      <x:rPr>
        <x:b/>
        <x:sz val="14"/>
        <x:rFont val="Noto Sans CJK SC"/>
        <x:family val="2"/>
      </x:rPr>
      <x:t xml:space="preserve">之后产生什么问题</x:t>
    </x:r>
  </x:si>
  <x:si>
    <x:t xml:space="preserve">大件</x:t>
  </x:si>
  <x:si>
    <x:t xml:space="preserve">生产建筑</x:t>
  </x:si>
  <x:si>
    <x:t xml:space="preserve">直接输入种类</x:t>
  </x:si>
  <x:si>
    <x:t xml:space="preserve">使用耗材种类</x:t>
  </x:si>
  <x:si>
    <x:t xml:space="preserve">使用副产数</x:t>
  </x:si>
  <x:si>
    <x:t xml:space="preserve">维护配方数</x:t>
  </x:si>
  <x:si>
    <x:t xml:space="preserve">带出的配套物品数</x:t>
  </x:si>
  <x:si>
    <x:t xml:space="preserve">被分期销售配方数</x:t>
  </x:si>
  <x:si>
    <x:t xml:space="preserve">需要的公共配套</x:t>
  </x:si>
  <x:si>
    <x:t xml:space="preserve">砂岩屋</x:t>
  </x:si>
  <x:si>
    <x:t xml:space="preserve">中世纪</x:t>
  </x:si>
  <x:si>
    <x:r>
      <x:rPr>
        <x:sz val="10"/>
        <x:rFont val="Noto Sans CJK SC"/>
        <x:family val="2"/>
      </x:rPr>
      <x:t xml:space="preserve">现款</x:t>
    </x:r>
    <x:r>
      <x:rPr>
        <x:sz val="10"/>
        <x:rFont val="Arial"/>
      </x:rPr>
      <x:t xml:space="preserve">/</x:t>
    </x:r>
    <x:r>
      <x:rPr>
        <x:sz val="10"/>
        <x:rFont val="Noto Sans CJK SC"/>
        <x:family val="2"/>
      </x:rPr>
      <x:t xml:space="preserve">建造</x:t>
    </x:r>
  </x:si>
  <x:si>
    <x:t xml:space="preserve">无</x:t>
  </x:si>
  <x:si>
    <x:t xml:space="preserve">砖房</x:t>
  </x:si>
  <x:si>
    <x:t xml:space="preserve">工业化</x:t>
  </x:si>
  <x:si>
    <x:t xml:space="preserve">分期</x:t>
  </x:si>
  <x:si>
    <x:t xml:space="preserve">管网、电网、污水处理厂、修缮队</x:t>
  </x:si>
  <x:si>
    <x:t xml:space="preserve">混凝土公寓</x:t>
  </x:si>
  <x:si>
    <x:t xml:space="preserve">现代</x:t>
  </x:si>
  <x:si>
    <x:t xml:space="preserve">管网、电网、污水处理厂、修缮队、电梯维护</x:t>
  </x:si>
  <x:si>
    <x:t xml:space="preserve">汽车</x:t>
  </x:si>
  <x:si>
    <x:t xml:space="preserve">公路、燃油供应、汽修厂、尾气治理</x:t>
  </x:si>
  <x:si>
    <x:t xml:space="preserve">冰箱</x:t>
  </x:si>
  <x:si>
    <x:t xml:space="preserve">电网、家电维修铺</x:t>
  </x:si>
  <x:si>
    <x:t xml:space="preserve">洗衣机</x:t>
  </x:si>
  <x:si>
    <x:t xml:space="preserve">电网、管网、污水处理厂、家电维修铺</x:t>
  </x:si>
  <x:si>
    <x:t xml:space="preserve">电视机</x:t>
  </x:si>
  <x:si>
    <x:t xml:space="preserve">电网、广播站、家电维修铺</x:t>
  </x:si>
  <x:si>
    <x:t xml:space="preserve">关键中间品的下游分化</x:t>
  </x:si>
  <x:si>
    <x:r>
      <x:rPr>
        <x:i/>
        <x:sz val="10"/>
        <x:color rgb="FF595959"/>
        <x:rFont val="Noto Sans CJK SC"/>
        <x:family val="2"/>
      </x:rPr>
      <x:t xml:space="preserve">一个中间品被多少配方消耗，其中多少产出日常用品、零部件</x:t>
    </x:r>
    <x:r>
      <x:rPr>
        <x:i/>
        <x:sz val="10"/>
        <x:color rgb="FF595959"/>
        <x:rFont val="Arial"/>
      </x:rPr>
      <x:t xml:space="preserve">/</x:t>
    </x:r>
    <x:r>
      <x:rPr>
        <x:i/>
        <x:sz val="10"/>
        <x:color rgb="FF595959"/>
        <x:rFont val="Noto Sans CJK SC"/>
        <x:family val="2"/>
      </x:rPr>
      <x:t xml:space="preserve">总成、大件。日常用品越多，说明它“发展出了不同功效”。</x:t>
    </x:r>
  </x:si>
  <x:si>
    <x:t xml:space="preserve">中间品</x:t>
  </x:si>
  <x:si>
    <x:t xml:space="preserve">其中产出日常用品</x:t>
  </x:si>
  <x:si>
    <x:r>
      <x:rPr>
        <x:b/>
        <x:sz val="10"/>
        <x:color rgb="FFFFFFFF"/>
        <x:rFont val="Noto Sans CJK SC"/>
        <x:family val="2"/>
      </x:rPr>
      <x:t xml:space="preserve">其中产出零部件</x:t>
    </x:r>
    <x:r>
      <x:rPr>
        <x:b/>
        <x:sz val="10"/>
        <x:color rgb="FFFFFFFF"/>
        <x:rFont val="Arial"/>
      </x:rPr>
      <x:t xml:space="preserve">/</x:t>
    </x:r>
    <x:r>
      <x:rPr>
        <x:b/>
        <x:sz val="10"/>
        <x:color rgb="FFFFFFFF"/>
        <x:rFont val="Noto Sans CJK SC"/>
        <x:family val="2"/>
      </x:rPr>
      <x:t xml:space="preserve">总成</x:t>
    </x:r>
  </x:si>
  <x:si>
    <x:t xml:space="preserve">其中产出大件</x:t>
  </x:si>
  <x:si>
    <x:t xml:space="preserve">基础化学品</x:t>
  </x:si>
  <x:si>
    <x:t xml:space="preserve">初级材料</x:t>
  </x:si>
  <x:si>
    <x:t xml:space="preserve">塑料</x:t>
  </x:si>
  <x:si>
    <x:t xml:space="preserve">钢材</x:t>
  </x:si>
  <x:si>
    <x:t xml:space="preserve">石油气</x:t>
  </x:si>
  <x:si>
    <x:t xml:space="preserve">玻璃</x:t>
  </x:si>
  <x:si>
    <x:t xml:space="preserve">布</x:t>
  </x:si>
  <x:si>
    <x:t xml:space="preserve">铜线</x:t>
  </x:si>
  <x:si>
    <x:t xml:space="preserve">合成橡胶</x:t>
  </x:si>
  <x:si>
    <x:t xml:space="preserve">电机</x:t>
  </x:si>
  <x:si>
    <x:t xml:space="preserve">零部件</x:t>
  </x:si>
  <x:si>
    <x:t xml:space="preserve">铝材</x:t>
  </x:si>
  <x:si>
    <x:t xml:space="preserve">木板</x:t>
  </x:si>
  <x:si>
    <x:t xml:space="preserve">涂料</x:t>
  </x:si>
  <x:si>
    <x:t xml:space="preserve">保温层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</x:si>
</x:sst>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19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name val="Noto Sans CJK SC"/>
    </x:font>
    <x:font>
      <x:b/>
      <x:sz val="14"/>
      <x:name val="Arial"/>
    </x:font>
    <x:font>
      <x:i/>
      <x:sz val="10"/>
      <x:color rgb="FF595959"/>
      <x:name val="Noto Sans CJK SC"/>
    </x:font>
    <x:font>
      <x:i/>
      <x:sz val="10"/>
      <x:color rgb="FF595959"/>
      <x:name val="Arial"/>
    </x:font>
    <x:font>
      <x:b/>
      <x:sz val="11"/>
      <x:color rgb="FF1F3864"/>
      <x:name val="Noto Sans CJK SC"/>
    </x:font>
    <x:font>
      <x:sz val="10"/>
      <x:name val="Arial"/>
    </x:font>
    <x:font>
      <x:sz val="10"/>
      <x:name val="Noto Sans CJK SC"/>
    </x:font>
    <x:font>
      <x:b/>
      <x:sz val="10"/>
      <x:color rgb="FFFFFFFF"/>
      <x:name val="Noto Sans CJK SC"/>
    </x:font>
    <x:font>
      <x:b/>
      <x:sz val="10"/>
      <x:color rgb="FFFFFFFF"/>
      <x:name val="Arial"/>
    </x:font>
    <x:font>
      <x:b/>
      <x:sz val="10"/>
      <x:name val="Noto Sans CJK SC"/>
    </x:font>
    <x:font>
      <x:b/>
      <x:sz val="10"/>
      <x:color rgb="FF183153"/>
      <x:name val="Noto Sans CJK SC"/>
    </x:font>
    <x:font>
      <x:b/>
      <x:sz val="16"/>
      <x:color rgb="FFFFFFFF"/>
      <x:name val="Noto Sans CJK SC"/>
    </x:font>
    <x:font>
      <x:sz val="11"/>
      <x:color rgb="FF183153"/>
      <x:name val="Noto Sans CJK SC"/>
    </x:font>
    <x:font>
      <x:b/>
      <x:sz val="11"/>
      <x:color rgb="FFFFFFFF"/>
      <x:name val="Noto Sans CJK SC"/>
    </x:font>
    <x:font>
      <x:b/>
      <x:sz val="11"/>
      <x:color theme="1"/>
      <x:name val="Noto Sans CJK SC"/>
    </x:font>
  </x:fonts>
  <x:fills count="36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4E7D3"/>
      </x:patternFill>
    </x:fill>
    <x:fill>
      <x:patternFill patternType="solid">
        <x:fgColor rgb="FFE7E6E6"/>
      </x:patternFill>
    </x:fill>
    <x:fill>
      <x:patternFill patternType="solid">
        <x:fgColor rgb="FFDCE6F1"/>
      </x:patternFill>
    </x:fill>
    <x:fill>
      <x:patternFill patternType="solid">
        <x:fgColor rgb="FFE2EFDA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DDEBF7"/>
      </x:patternFill>
    </x:fill>
    <x:fill>
      <x:patternFill patternType="solid">
        <x:fgColor rgb="FFBDD7EE"/>
      </x:patternFill>
    </x:fill>
    <x:fill>
      <x:patternFill patternType="solid">
        <x:fgColor rgb="FFF8CBAD"/>
      </x:patternFill>
    </x:fill>
    <x:fill>
      <x:patternFill patternType="solid">
        <x:fgColor rgb="FFC6E0B4"/>
      </x:patternFill>
    </x:fill>
    <x:fill>
      <x:patternFill patternType="solid">
        <x:fgColor rgb="FFE4DFEC"/>
      </x:patternFill>
    </x:fill>
    <x:fill>
      <x:patternFill patternType="solid">
        <x:fgColor rgb="FFFFE699"/>
      </x:patternFill>
    </x:fill>
    <x:fill>
      <x:patternFill patternType="solid">
        <x:fgColor rgb="FFD9D2E9"/>
      </x:patternFill>
    </x:fill>
    <x:fill>
      <x:patternFill patternType="solid">
        <x:fgColor rgb="FFFCE4D6"/>
      </x:patternFill>
    </x:fill>
    <x:fill>
      <x:patternFill patternType="solid">
        <x:fgColor rgb="FFEEF2F6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DDEBF7"/>
      </x:patternFill>
    </x:fill>
    <x:fill>
      <x:patternFill patternType="solid">
        <x:fgColor rgb="FFBDD7EE"/>
      </x:patternFill>
    </x:fill>
    <x:fill>
      <x:patternFill patternType="solid">
        <x:fgColor rgb="FFF8CBAD"/>
      </x:patternFill>
    </x:fill>
    <x:fill>
      <x:patternFill patternType="solid">
        <x:fgColor rgb="FFC6E0B4"/>
      </x:patternFill>
    </x:fill>
    <x:fill>
      <x:patternFill patternType="solid">
        <x:fgColor rgb="FFE4DFEC"/>
      </x:patternFill>
    </x:fill>
    <x:fill>
      <x:patternFill patternType="solid">
        <x:fgColor rgb="FFFFE699"/>
      </x:patternFill>
    </x:fill>
    <x:fill>
      <x:patternFill patternType="solid">
        <x:fgColor rgb="FFD9D2E9"/>
      </x:patternFill>
    </x:fill>
    <x:fill>
      <x:patternFill patternType="solid">
        <x:fgColor rgb="FFFCE4D6"/>
      </x:patternFill>
    </x:fill>
    <x:fill>
      <x:patternFill patternType="solid">
        <x:fgColor rgb="FFF4E7D3"/>
      </x:patternFill>
    </x:fill>
    <x:fill>
      <x:patternFill patternType="solid">
        <x:fgColor rgb="FFDCE6F1"/>
      </x:patternFill>
    </x:fill>
    <x:fill>
      <x:patternFill patternType="solid">
        <x:fgColor rgb="FFE2EFDA"/>
      </x:patternFill>
    </x:fill>
    <x:fill>
      <x:patternFill patternType="solid">
        <x:fgColor rgb="FF183153"/>
      </x:patternFill>
    </x:fill>
    <x:fill>
      <x:patternFill patternType="solid">
        <x:fgColor rgb="FFEAF0F7"/>
      </x:patternFill>
    </x:fill>
    <x:fill>
      <x:patternFill patternType="solid">
        <x:fgColor rgb="FF355A7C"/>
      </x:patternFill>
    </x:fill>
    <x:fill>
      <x:patternFill patternType="solid">
        <x:fgColor rgb="FFE7F1F3"/>
      </x:patternFill>
    </x:fill>
  </x:fills>
  <x:borders count="4"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09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4" fontId="6" fillId="0" borderId="0" xfId="0" applyFont="1" applyBorder="0" applyAlignment="0">
      <x:alignment horizontal="general" vertical="bottom" wrapText="0"/>
    </x:xf>
    <x:xf numFmtId="164" fontId="8" fillId="0" borderId="0" xfId="0" applyFont="1" applyBorder="0" applyAlignment="0">
      <x:alignment horizontal="general" vertical="bottom" wrapText="0"/>
    </x:xf>
    <x:xf numFmtId="164" fontId="9" fillId="0" borderId="0" xfId="0" applyFont="1" applyBorder="1" applyAlignment="1">
      <x:alignment horizontal="general" vertical="top" wrapText="1"/>
    </x:xf>
    <x:xf numFmtId="164" fontId="11" fillId="2" borderId="1" xfId="0" applyFont="1" applyBorder="1" applyAlignment="1">
      <x:alignment horizontal="center" vertical="center" wrapText="1"/>
    </x:xf>
    <x:xf numFmtId="164" fontId="10" fillId="0" borderId="1" xfId="0" applyFont="1" applyBorder="1" applyAlignment="1">
      <x:alignment horizontal="general" vertical="top" wrapText="1"/>
    </x:xf>
    <x:xf numFmtId="164" fontId="13" fillId="0" borderId="0" xfId="0" applyFont="1" applyBorder="0" applyAlignment="0">
      <x:alignment horizontal="general" vertical="bottom" wrapText="0"/>
    </x:xf>
    <x:xf numFmtId="164" fontId="10" fillId="0" borderId="0" xfId="0" applyFont="1" applyBorder="1" applyAlignment="1">
      <x:alignment horizontal="general" vertical="top" wrapText="1"/>
    </x:xf>
    <x:xf numFmtId="164" fontId="12" fillId="2" borderId="1" xfId="0" applyFont="1" applyBorder="1" applyAlignment="1">
      <x:alignment horizontal="center" vertical="center" wrapText="1"/>
    </x:xf>
    <x:xf numFmtId="164" fontId="9" fillId="0" borderId="1" xfId="0" applyFont="1" applyBorder="1" applyAlignment="1">
      <x:alignment horizontal="center" vertical="top" wrapText="1"/>
    </x:xf>
    <x:xf numFmtId="164" fontId="10" fillId="3" borderId="1" xfId="0" applyFont="1" applyBorder="1" applyAlignment="1">
      <x:alignment horizontal="center" vertical="top" wrapText="1"/>
    </x:xf>
    <x:xf numFmtId="164" fontId="10" fillId="4" borderId="1" xfId="0" applyFont="1" applyBorder="1" applyAlignment="1">
      <x:alignment horizontal="center" vertical="top" wrapText="1"/>
    </x:xf>
    <x:xf numFmtId="164" fontId="10" fillId="0" borderId="1" xfId="0" applyFont="1" applyBorder="1" applyAlignment="1">
      <x:alignment horizontal="center" vertical="top" wrapText="1"/>
    </x:xf>
    <x:xf numFmtId="164" fontId="10" fillId="5" borderId="1" xfId="0" applyFont="1" applyBorder="1" applyAlignment="1">
      <x:alignment horizontal="center" vertical="top" wrapText="1"/>
    </x:xf>
    <x:xf numFmtId="164" fontId="10" fillId="6" borderId="1" xfId="0" applyFont="1" applyBorder="1" applyAlignment="1">
      <x:alignment horizontal="center" vertical="top" wrapText="1"/>
    </x:xf>
    <x:xf numFmtId="164" fontId="10" fillId="7" borderId="1" xfId="0" applyFont="1" applyBorder="1" applyAlignment="1">
      <x:alignment horizontal="center" vertical="top" wrapText="1"/>
    </x:xf>
    <x:xf numFmtId="164" fontId="10" fillId="8" borderId="1" xfId="0" applyFont="1" applyBorder="1" applyAlignment="1">
      <x:alignment horizontal="center" vertical="top" wrapText="1"/>
    </x:xf>
    <x:xf numFmtId="164" fontId="10" fillId="9" borderId="1" xfId="0" applyFont="1" applyBorder="1" applyAlignment="1">
      <x:alignment horizontal="center" vertical="top" wrapText="1"/>
    </x:xf>
    <x:xf numFmtId="164" fontId="10" fillId="10" borderId="1" xfId="0" applyFont="1" applyBorder="1" applyAlignment="1">
      <x:alignment horizontal="center" vertical="top" wrapText="1"/>
    </x:xf>
    <x:xf numFmtId="164" fontId="10" fillId="11" borderId="1" xfId="0" applyFont="1" applyBorder="1" applyAlignment="1">
      <x:alignment horizontal="center" vertical="top" wrapText="1"/>
    </x:xf>
    <x:xf numFmtId="164" fontId="9" fillId="0" borderId="1" xfId="0" applyFont="1" applyBorder="1" applyAlignment="1">
      <x:alignment horizontal="general" vertical="top" wrapText="1"/>
    </x:xf>
    <x:xf numFmtId="164" fontId="10" fillId="12" borderId="1" xfId="0" applyFont="1" applyBorder="1" applyAlignment="1">
      <x:alignment horizontal="center" vertical="top" wrapText="1"/>
    </x:xf>
    <x:xf numFmtId="164" fontId="10" fillId="13" borderId="1" xfId="0" applyFont="1" applyBorder="1" applyAlignment="1">
      <x:alignment horizontal="center" vertical="top" wrapText="1"/>
    </x:xf>
    <x:xf numFmtId="164" fontId="10" fillId="14" borderId="1" xfId="0" applyFont="1" applyBorder="1" applyAlignment="1">
      <x:alignment horizontal="center" vertical="top" wrapText="1"/>
    </x:xf>
    <x:xf numFmtId="164" fontId="10" fillId="15" borderId="1" xfId="0" applyFont="1" applyBorder="1" applyAlignment="1">
      <x:alignment horizontal="center" vertical="top" wrapText="1"/>
    </x:xf>
    <x:xf numFmtId="164" fontId="10" fillId="16" borderId="1" xfId="0" applyFont="1" applyBorder="1" applyAlignment="1">
      <x:alignment horizontal="center" vertical="top" wrapText="1"/>
    </x:xf>
    <x:xf numFmtId="164" fontId="0" fillId="0" borderId="2" xfId="0" applyNumberFormat="1" applyFont="1" applyFill="1" applyBorder="1" applyAlignment="1">
      <x:alignment horizontal="general" vertical="bottom" wrapText="0"/>
    </x:xf>
    <x:xf numFmtId="164" fontId="4" fillId="0" borderId="2" xfId="0" applyNumberFormat="1" applyFont="1" applyFill="1" applyBorder="1" applyAlignment="1">
      <x:alignment horizontal="general" vertical="bottom" wrapText="0"/>
    </x:xf>
    <x:xf numFmtId="164" fontId="6" fillId="0" borderId="2" xfId="0" applyNumberFormat="1" applyFont="1" applyFill="1" applyBorder="1" applyAlignment="1">
      <x:alignment horizontal="general" vertical="bottom" wrapText="0"/>
    </x:xf>
    <x:xf numFmtId="164" fontId="8" fillId="0" borderId="2" xfId="0" applyNumberFormat="1" applyFont="1" applyFill="1" applyBorder="1" applyAlignment="1">
      <x:alignment horizontal="general" vertical="bottom" wrapText="0"/>
    </x:xf>
    <x:xf numFmtId="164" fontId="1" fillId="0" borderId="2" xfId="0" applyNumberFormat="1" applyFont="1" applyFill="1" applyBorder="1" applyAlignment="1">
      <x:alignment horizontal="general" vertical="top" wrapText="1"/>
    </x:xf>
    <x:xf numFmtId="164" fontId="11" fillId="2" borderId="3" xfId="0" applyNumberFormat="1" applyFont="1" applyFill="1" applyBorder="1" applyAlignment="1">
      <x:alignment horizontal="center" vertical="center" wrapText="1"/>
    </x:xf>
    <x:xf numFmtId="164" fontId="10" fillId="0" borderId="3" xfId="0" applyNumberFormat="1" applyFont="1" applyFill="1" applyBorder="1" applyAlignment="1">
      <x:alignment horizontal="general" vertical="top" wrapText="1"/>
    </x:xf>
    <x:xf numFmtId="164" fontId="13" fillId="0" borderId="2" xfId="0" applyNumberFormat="1" applyFont="1" applyFill="1" applyBorder="1" applyAlignment="1">
      <x:alignment horizontal="general" vertical="bottom" wrapText="0"/>
    </x:xf>
    <x:xf numFmtId="164" fontId="10" fillId="0" borderId="2" xfId="0" applyNumberFormat="1" applyFont="1" applyFill="1" applyBorder="1" applyAlignment="1">
      <x:alignment horizontal="general" vertical="top" wrapText="1"/>
    </x:xf>
    <x:xf numFmtId="164" fontId="12" fillId="2" borderId="3" xfId="0" applyNumberFormat="1" applyFont="1" applyFill="1" applyBorder="1" applyAlignment="1">
      <x:alignment horizontal="center" vertical="center" wrapText="1"/>
    </x:xf>
    <x:xf numFmtId="164" fontId="1" fillId="0" borderId="3" xfId="0" applyNumberFormat="1" applyFont="1" applyFill="1" applyBorder="1" applyAlignment="1">
      <x:alignment horizontal="center" vertical="top" wrapText="1"/>
    </x:xf>
    <x:xf numFmtId="164" fontId="10" fillId="3" borderId="3" xfId="0" applyNumberFormat="1" applyFont="1" applyFill="1" applyBorder="1" applyAlignment="1">
      <x:alignment horizontal="center" vertical="top" wrapText="1"/>
    </x:xf>
    <x:xf numFmtId="164" fontId="10" fillId="4" borderId="3" xfId="0" applyNumberFormat="1" applyFont="1" applyFill="1" applyBorder="1" applyAlignment="1">
      <x:alignment horizontal="center" vertical="top" wrapText="1"/>
    </x:xf>
    <x:xf numFmtId="164" fontId="10" fillId="0" borderId="3" xfId="0" applyNumberFormat="1" applyFont="1" applyFill="1" applyBorder="1" applyAlignment="1">
      <x:alignment horizontal="center" vertical="top" wrapText="1"/>
    </x:xf>
    <x:xf numFmtId="164" fontId="10" fillId="5" borderId="3" xfId="0" applyNumberFormat="1" applyFont="1" applyFill="1" applyBorder="1" applyAlignment="1">
      <x:alignment horizontal="center" vertical="top" wrapText="1"/>
    </x:xf>
    <x:xf numFmtId="164" fontId="10" fillId="6" borderId="3" xfId="0" applyNumberFormat="1" applyFont="1" applyFill="1" applyBorder="1" applyAlignment="1">
      <x:alignment horizontal="center" vertical="top" wrapText="1"/>
    </x:xf>
    <x:xf numFmtId="164" fontId="10" fillId="7" borderId="3" xfId="0" applyNumberFormat="1" applyFont="1" applyFill="1" applyBorder="1" applyAlignment="1">
      <x:alignment horizontal="center" vertical="top" wrapText="1"/>
    </x:xf>
    <x:xf numFmtId="164" fontId="10" fillId="8" borderId="3" xfId="0" applyNumberFormat="1" applyFont="1" applyFill="1" applyBorder="1" applyAlignment="1">
      <x:alignment horizontal="center" vertical="top" wrapText="1"/>
    </x:xf>
    <x:xf numFmtId="164" fontId="10" fillId="9" borderId="3" xfId="0" applyNumberFormat="1" applyFont="1" applyFill="1" applyBorder="1" applyAlignment="1">
      <x:alignment horizontal="center" vertical="top" wrapText="1"/>
    </x:xf>
    <x:xf numFmtId="164" fontId="10" fillId="10" borderId="3" xfId="0" applyNumberFormat="1" applyFont="1" applyFill="1" applyBorder="1" applyAlignment="1">
      <x:alignment horizontal="center" vertical="top" wrapText="1"/>
    </x:xf>
    <x:xf numFmtId="164" fontId="10" fillId="11" borderId="3" xfId="0" applyNumberFormat="1" applyFont="1" applyFill="1" applyBorder="1" applyAlignment="1">
      <x:alignment horizontal="center" vertical="top" wrapText="1"/>
    </x:xf>
    <x:xf numFmtId="164" fontId="1" fillId="0" borderId="3" xfId="0" applyNumberFormat="1" applyFont="1" applyFill="1" applyBorder="1" applyAlignment="1">
      <x:alignment horizontal="general" vertical="top" wrapText="1"/>
    </x:xf>
    <x:xf numFmtId="164" fontId="10" fillId="12" borderId="3" xfId="0" applyNumberFormat="1" applyFont="1" applyFill="1" applyBorder="1" applyAlignment="1">
      <x:alignment horizontal="center" vertical="top" wrapText="1"/>
    </x:xf>
    <x:xf numFmtId="164" fontId="10" fillId="13" borderId="3" xfId="0" applyNumberFormat="1" applyFont="1" applyFill="1" applyBorder="1" applyAlignment="1">
      <x:alignment horizontal="center" vertical="top" wrapText="1"/>
    </x:xf>
    <x:xf numFmtId="164" fontId="10" fillId="14" borderId="3" xfId="0" applyNumberFormat="1" applyFont="1" applyFill="1" applyBorder="1" applyAlignment="1">
      <x:alignment horizontal="center" vertical="top" wrapText="1"/>
    </x:xf>
    <x:xf numFmtId="164" fontId="10" fillId="15" borderId="3" xfId="0" applyNumberFormat="1" applyFont="1" applyFill="1" applyBorder="1" applyAlignment="1">
      <x:alignment horizontal="center" vertical="top" wrapText="1"/>
    </x:xf>
    <x:xf numFmtId="164" fontId="10" fillId="16" borderId="3" xfId="0" applyNumberFormat="1" applyFont="1" applyFill="1" applyBorder="1" applyAlignment="1">
      <x:alignment horizontal="center" vertical="top" wrapText="1"/>
    </x:xf>
    <x:xf numFmtId="164" fontId="1" fillId="17" borderId="1" xfId="0" applyNumberFormat="1" applyFont="1" applyFill="1" applyBorder="1" applyAlignment="1">
      <x:alignment horizontal="center" vertical="top" wrapText="1"/>
    </x:xf>
    <x:xf numFmtId="164" fontId="10" fillId="17" borderId="1" xfId="0" applyNumberFormat="1" applyFont="1" applyFill="1" applyBorder="1" applyAlignment="1">
      <x:alignment horizontal="general" vertical="top" wrapText="1"/>
    </x:xf>
    <x:xf numFmtId="164" fontId="10" fillId="17" borderId="1" xfId="0" applyNumberFormat="1" applyFont="1" applyFill="1" applyBorder="1" applyAlignment="1">
      <x:alignment horizontal="center" vertical="top" wrapText="1"/>
    </x:xf>
    <x:xf numFmtId="164" fontId="14" fillId="17" borderId="1" xfId="0" applyNumberFormat="1" applyFont="1" applyFill="1" applyBorder="1" applyAlignment="1">
      <x:alignment horizontal="center" vertical="top" wrapText="1"/>
    </x:xf>
    <x:xf numFmtId="164" fontId="14" fillId="17" borderId="1" xfId="0" applyNumberFormat="1" applyFont="1" applyFill="1" applyBorder="1" applyAlignment="1">
      <x:alignment horizontal="general" vertical="top" wrapText="1"/>
    </x:xf>
    <x:xf numFmtId="164" fontId="1" fillId="17" borderId="3" xfId="0" applyNumberFormat="1" applyFont="1" applyFill="1" applyBorder="1" applyAlignment="1">
      <x:alignment horizontal="center" vertical="top" wrapText="1"/>
    </x:xf>
    <x:xf numFmtId="164" fontId="10" fillId="17" borderId="3" xfId="0" applyNumberFormat="1" applyFont="1" applyFill="1" applyBorder="1" applyAlignment="1">
      <x:alignment horizontal="general" vertical="top" wrapText="1"/>
    </x:xf>
    <x:xf numFmtId="164" fontId="10" fillId="17" borderId="3" xfId="0" applyNumberFormat="1" applyFont="1" applyFill="1" applyBorder="1" applyAlignment="1">
      <x:alignment horizontal="center" vertical="top" wrapText="1"/>
    </x:xf>
    <x:xf numFmtId="164" fontId="14" fillId="17" borderId="3" xfId="0" applyNumberFormat="1" applyFont="1" applyFill="1" applyBorder="1" applyAlignment="1">
      <x:alignment horizontal="center" vertical="top" wrapText="1"/>
    </x:xf>
    <x:xf numFmtId="164" fontId="14" fillId="17" borderId="3" xfId="0" applyNumberFormat="1" applyFont="1" applyFill="1" applyBorder="1" applyAlignment="1">
      <x:alignment horizontal="general" vertical="top" wrapText="1"/>
    </x:xf>
    <x:xf numFmtId="164" fontId="10" fillId="18" borderId="1" xfId="0" applyNumberFormat="1" applyFont="1" applyFill="1" applyBorder="1" applyAlignment="1">
      <x:alignment horizontal="center" vertical="top" wrapText="1"/>
    </x:xf>
    <x:xf numFmtId="164" fontId="10" fillId="18" borderId="3" xfId="0" applyNumberFormat="1" applyFont="1" applyFill="1" applyBorder="1" applyAlignment="1">
      <x:alignment horizontal="center" vertical="top" wrapText="1"/>
    </x:xf>
    <x:xf numFmtId="164" fontId="10" fillId="19" borderId="1" xfId="0" applyNumberFormat="1" applyFont="1" applyFill="1" applyBorder="1" applyAlignment="1">
      <x:alignment horizontal="center" vertical="top" wrapText="1"/>
    </x:xf>
    <x:xf numFmtId="164" fontId="10" fillId="19" borderId="3" xfId="0" applyNumberFormat="1" applyFont="1" applyFill="1" applyBorder="1" applyAlignment="1">
      <x:alignment horizontal="center" vertical="top" wrapText="1"/>
    </x:xf>
    <x:xf numFmtId="164" fontId="10" fillId="20" borderId="1" xfId="0" applyNumberFormat="1" applyFont="1" applyFill="1" applyBorder="1" applyAlignment="1">
      <x:alignment horizontal="center" vertical="top" wrapText="1"/>
    </x:xf>
    <x:xf numFmtId="164" fontId="10" fillId="20" borderId="3" xfId="0" applyNumberFormat="1" applyFont="1" applyFill="1" applyBorder="1" applyAlignment="1">
      <x:alignment horizontal="center" vertical="top" wrapText="1"/>
    </x:xf>
    <x:xf numFmtId="164" fontId="10" fillId="21" borderId="1" xfId="0" applyNumberFormat="1" applyFont="1" applyFill="1" applyBorder="1" applyAlignment="1">
      <x:alignment horizontal="center" vertical="top" wrapText="1"/>
    </x:xf>
    <x:xf numFmtId="164" fontId="10" fillId="21" borderId="3" xfId="0" applyNumberFormat="1" applyFont="1" applyFill="1" applyBorder="1" applyAlignment="1">
      <x:alignment horizontal="center" vertical="top" wrapText="1"/>
    </x:xf>
    <x:xf numFmtId="164" fontId="10" fillId="22" borderId="1" xfId="0" applyNumberFormat="1" applyFont="1" applyFill="1" applyBorder="1" applyAlignment="1">
      <x:alignment horizontal="center" vertical="top" wrapText="1"/>
    </x:xf>
    <x:xf numFmtId="164" fontId="10" fillId="22" borderId="3" xfId="0" applyNumberFormat="1" applyFont="1" applyFill="1" applyBorder="1" applyAlignment="1">
      <x:alignment horizontal="center" vertical="top" wrapText="1"/>
    </x:xf>
    <x:xf numFmtId="164" fontId="10" fillId="23" borderId="1" xfId="0" applyNumberFormat="1" applyFont="1" applyFill="1" applyBorder="1" applyAlignment="1">
      <x:alignment horizontal="center" vertical="top" wrapText="1"/>
    </x:xf>
    <x:xf numFmtId="164" fontId="10" fillId="23" borderId="3" xfId="0" applyNumberFormat="1" applyFont="1" applyFill="1" applyBorder="1" applyAlignment="1">
      <x:alignment horizontal="center" vertical="top" wrapText="1"/>
    </x:xf>
    <x:xf numFmtId="164" fontId="10" fillId="24" borderId="1" xfId="0" applyNumberFormat="1" applyFont="1" applyFill="1" applyBorder="1" applyAlignment="1">
      <x:alignment horizontal="center" vertical="top" wrapText="1"/>
    </x:xf>
    <x:xf numFmtId="164" fontId="10" fillId="24" borderId="3" xfId="0" applyNumberFormat="1" applyFont="1" applyFill="1" applyBorder="1" applyAlignment="1">
      <x:alignment horizontal="center" vertical="top" wrapText="1"/>
    </x:xf>
    <x:xf numFmtId="164" fontId="10" fillId="25" borderId="1" xfId="0" applyNumberFormat="1" applyFont="1" applyFill="1" applyBorder="1" applyAlignment="1">
      <x:alignment horizontal="center" vertical="top" wrapText="1"/>
    </x:xf>
    <x:xf numFmtId="164" fontId="10" fillId="25" borderId="3" xfId="0" applyNumberFormat="1" applyFont="1" applyFill="1" applyBorder="1" applyAlignment="1">
      <x:alignment horizontal="center" vertical="top" wrapText="1"/>
    </x:xf>
    <x:xf numFmtId="164" fontId="10" fillId="26" borderId="1" xfId="0" applyNumberFormat="1" applyFont="1" applyFill="1" applyBorder="1" applyAlignment="1">
      <x:alignment horizontal="center" vertical="top" wrapText="1"/>
    </x:xf>
    <x:xf numFmtId="164" fontId="10" fillId="26" borderId="3" xfId="0" applyNumberFormat="1" applyFont="1" applyFill="1" applyBorder="1" applyAlignment="1">
      <x:alignment horizontal="center" vertical="top" wrapText="1"/>
    </x:xf>
    <x:xf numFmtId="164" fontId="10" fillId="27" borderId="1" xfId="0" applyNumberFormat="1" applyFont="1" applyFill="1" applyBorder="1" applyAlignment="1">
      <x:alignment horizontal="center" vertical="top" wrapText="1"/>
    </x:xf>
    <x:xf numFmtId="164" fontId="10" fillId="27" borderId="3" xfId="0" applyNumberFormat="1" applyFont="1" applyFill="1" applyBorder="1" applyAlignment="1">
      <x:alignment horizontal="center" vertical="top" wrapText="1"/>
    </x:xf>
    <x:xf numFmtId="164" fontId="10" fillId="28" borderId="1" xfId="0" applyNumberFormat="1" applyFont="1" applyFill="1" applyBorder="1" applyAlignment="1">
      <x:alignment horizontal="center" vertical="top" wrapText="1"/>
    </x:xf>
    <x:xf numFmtId="164" fontId="10" fillId="28" borderId="3" xfId="0" applyNumberFormat="1" applyFont="1" applyFill="1" applyBorder="1" applyAlignment="1">
      <x:alignment horizontal="center" vertical="top" wrapText="1"/>
    </x:xf>
    <x:xf numFmtId="164" fontId="10" fillId="29" borderId="1" xfId="0" applyNumberFormat="1" applyFont="1" applyFill="1" applyBorder="1" applyAlignment="1">
      <x:alignment horizontal="center" vertical="top" wrapText="1"/>
    </x:xf>
    <x:xf numFmtId="164" fontId="10" fillId="29" borderId="3" xfId="0" applyNumberFormat="1" applyFont="1" applyFill="1" applyBorder="1" applyAlignment="1">
      <x:alignment horizontal="center" vertical="top" wrapText="1"/>
    </x:xf>
    <x:xf numFmtId="164" fontId="10" fillId="30" borderId="1" xfId="0" applyNumberFormat="1" applyFont="1" applyFill="1" applyBorder="1" applyAlignment="1">
      <x:alignment horizontal="center" vertical="top" wrapText="1"/>
    </x:xf>
    <x:xf numFmtId="164" fontId="10" fillId="30" borderId="3" xfId="0" applyNumberFormat="1" applyFont="1" applyFill="1" applyBorder="1" applyAlignment="1">
      <x:alignment horizontal="center" vertical="top" wrapText="1"/>
    </x:xf>
    <x:xf numFmtId="164" fontId="10" fillId="31" borderId="1" xfId="0" applyNumberFormat="1" applyFont="1" applyFill="1" applyBorder="1" applyAlignment="1">
      <x:alignment horizontal="center" vertical="top" wrapText="1"/>
    </x:xf>
    <x:xf numFmtId="164" fontId="10" fillId="31" borderId="3" xfId="0" applyNumberFormat="1" applyFont="1" applyFill="1" applyBorder="1" applyAlignment="1">
      <x:alignment horizontal="center" vertical="top" wrapText="1"/>
    </x:xf>
    <x:xf numFmtId="164" fontId="0" fillId="32" borderId="0" xfId="0" applyNumberFormat="1" applyFont="1" applyFill="1" applyBorder="1" applyAlignment="1">
      <x:alignment horizontal="general" vertical="bottom" wrapText="0"/>
    </x:xf>
    <x:xf numFmtId="164" fontId="15" fillId="32" borderId="0" xfId="0" applyNumberFormat="1" applyFont="1" applyFill="1" applyBorder="1" applyAlignment="1">
      <x:alignment horizontal="general" vertical="bottom" wrapText="0"/>
    </x:xf>
    <x:xf numFmtId="164" fontId="0" fillId="32" borderId="2" xfId="0" applyNumberFormat="1" applyFont="1" applyFill="1" applyBorder="1" applyAlignment="1">
      <x:alignment horizontal="general" vertical="bottom" wrapText="0"/>
    </x:xf>
    <x:xf numFmtId="164" fontId="15" fillId="32" borderId="2" xfId="0" applyNumberFormat="1" applyFont="1" applyFill="1" applyBorder="1" applyAlignment="1">
      <x:alignment horizontal="general" vertical="bottom" wrapText="0"/>
    </x:xf>
    <x:xf numFmtId="164" fontId="0" fillId="33" borderId="0" xfId="0" applyNumberFormat="1" applyFont="1" applyFill="1" applyBorder="1" applyAlignment="1">
      <x:alignment horizontal="general" vertical="bottom" wrapText="0"/>
    </x:xf>
    <x:xf numFmtId="164" fontId="16" fillId="33" borderId="0" xfId="0" applyNumberFormat="1" applyFont="1" applyFill="1" applyBorder="1" applyAlignment="1">
      <x:alignment horizontal="general" vertical="bottom" wrapText="0"/>
    </x:xf>
    <x:xf numFmtId="164" fontId="0" fillId="33" borderId="2" xfId="0" applyNumberFormat="1" applyFont="1" applyFill="1" applyBorder="1" applyAlignment="1">
      <x:alignment horizontal="general" vertical="bottom" wrapText="0"/>
    </x:xf>
    <x:xf numFmtId="164" fontId="16" fillId="33" borderId="2" xfId="0" applyNumberFormat="1" applyFont="1" applyFill="1" applyBorder="1" applyAlignment="1">
      <x:alignment horizontal="general" vertical="bottom" wrapText="0"/>
    </x:xf>
    <x:xf numFmtId="164" fontId="0" fillId="34" borderId="0" xfId="0" applyNumberFormat="1" applyFont="1" applyFill="1" applyBorder="1" applyAlignment="1">
      <x:alignment horizontal="general" vertical="bottom" wrapText="0"/>
    </x:xf>
    <x:xf numFmtId="164" fontId="17" fillId="34" borderId="0" xfId="0" applyNumberFormat="1" applyFont="1" applyFill="1" applyBorder="1" applyAlignment="1">
      <x:alignment horizontal="general" vertical="bottom" wrapText="0"/>
    </x:xf>
    <x:xf numFmtId="164" fontId="0" fillId="34" borderId="2" xfId="0" applyNumberFormat="1" applyFont="1" applyFill="1" applyBorder="1" applyAlignment="1">
      <x:alignment horizontal="general" vertical="bottom" wrapText="0"/>
    </x:xf>
    <x:xf numFmtId="164" fontId="17" fillId="34" borderId="2" xfId="0" applyNumberFormat="1" applyFont="1" applyFill="1" applyBorder="1" applyAlignment="1">
      <x:alignment horizontal="general" vertical="bottom" wrapText="0"/>
    </x:xf>
    <x:xf numFmtId="164" fontId="18" fillId="33" borderId="0" xfId="0" applyNumberFormat="1" applyFont="1" applyFill="1" applyBorder="1" applyAlignment="1">
      <x:alignment horizontal="general" vertical="bottom" wrapText="0"/>
    </x:xf>
    <x:xf numFmtId="164" fontId="18" fillId="33" borderId="2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2" xfId="0" applyNumberFormat="1" applyFont="1" applyFill="1" applyBorder="1" applyAlignment="1">
      <x:alignment horizontal="general" vertical="bottom" wrapText="1"/>
    </x:xf>
    <x:xf numFmtId="164" fontId="0" fillId="35" borderId="0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17">
    <x:dxf>
      <x:fill>
        <x:patternFill>
          <x:bgColor rgb="FF1F3864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DCE6F1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F4E7D3"/>
        </x:patternFill>
      </x:fill>
    </x:dxf>
    <x:dxf>
      <x:fill>
        <x:patternFill>
          <x:bgColor rgb="FFBDD7EE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D9D2E9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E4DFE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F2F2F2"/>
        </x:patternFill>
      </x:fill>
    </x:dxf>
    <x:dxf>
      <x:fill>
        <x:patternFill>
          <x:bgColor rgb="FFF8CBAD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E699"/>
        </x:patternFill>
      </x:fill>
    </x:dxf>
    <x:dxf>
      <x:fill>
        <x:patternFill>
          <x:bgColor rgb="FFFFF2CC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4E7D3"/>
      <x:rgbColor rgb="FFFF00FF"/>
      <x:rgbColor rgb="FF00FFFF"/>
      <x:rgbColor rgb="FF800000"/>
      <x:rgbColor rgb="FF008000"/>
      <x:rgbColor rgb="FF000080"/>
      <x:rgbColor rgb="FF548235"/>
      <x:rgbColor rgb="FF800080"/>
      <x:rgbColor rgb="FF008080"/>
      <x:rgbColor rgb="FFBFBFBF"/>
      <x:rgbColor rgb="FF7F7F7F"/>
      <x:rgbColor rgb="FFE7E6E6"/>
      <x:rgbColor rgb="FF993366"/>
      <x:rgbColor rgb="FFFFF2CC"/>
      <x:rgbColor rgb="FFDDEBF7"/>
      <x:rgbColor rgb="FF660066"/>
      <x:rgbColor rgb="FFFF8080"/>
      <x:rgbColor rgb="FF0066CC"/>
      <x:rgbColor rgb="FFD9D2E9"/>
      <x:rgbColor rgb="FF000080"/>
      <x:rgbColor rgb="FFFF00FF"/>
      <x:rgbColor rgb="FFF2F2F2"/>
      <x:rgbColor rgb="FF00FFFF"/>
      <x:rgbColor rgb="FF800080"/>
      <x:rgbColor rgb="FF800000"/>
      <x:rgbColor rgb="FF008080"/>
      <x:rgbColor rgb="FF0000FF"/>
      <x:rgbColor rgb="FF00CCFF"/>
      <x:rgbColor rgb="FFDCE6F1"/>
      <x:rgbColor rgb="FFE2EFDA"/>
      <x:rgbColor rgb="FFFFE699"/>
      <x:rgbColor rgb="FFBDD7EE"/>
      <x:rgbColor rgb="FFFCE4D6"/>
      <x:rgbColor rgb="FFE4DFEC"/>
      <x:rgbColor rgb="FFF8CBAD"/>
      <x:rgbColor rgb="FF3366FF"/>
      <x:rgbColor rgb="FF33CCCC"/>
      <x:rgbColor rgb="FF99CC00"/>
      <x:rgbColor rgb="FFFFCC00"/>
      <x:rgbColor rgb="FFFF9900"/>
      <x:rgbColor rgb="FFC55A11"/>
      <x:rgbColor rgb="FF595959"/>
      <x:rgbColor rgb="FFC6E0B4"/>
      <x:rgbColor rgb="FF1F3864"/>
      <x:rgbColor rgb="FF339966"/>
      <x:rgbColor rgb="FF003300"/>
      <x:rgbColor rgb="FF333300"/>
      <x:rgbColor rgb="FF993300"/>
      <x:rgbColor rgb="FF993366"/>
      <x:rgbColor rgb="FF2F5597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8d381276d243dd" /><Relationship Type="http://schemas.openxmlformats.org/officeDocument/2006/relationships/theme" Target="/xl/theme/theme1.xml" Id="R49396ff5d531413e" /><Relationship Type="http://schemas.openxmlformats.org/officeDocument/2006/relationships/sharedStrings" Target="/xl/sharedStrings.xml" Id="R589354ac8ad34df6" /><Relationship Type="http://schemas.openxmlformats.org/officeDocument/2006/relationships/worksheet" Target="/xl/worksheets/sheet1.xml" Id="Rec136725082b4a7f" /><Relationship Type="http://schemas.openxmlformats.org/officeDocument/2006/relationships/worksheet" Target="/xl/worksheets/sheet2.xml" Id="R8cf8880481c6480f" /><Relationship Type="http://schemas.openxmlformats.org/officeDocument/2006/relationships/worksheet" Target="/xl/worksheets/sheet3.xml" Id="Rc521db615877463c" /><Relationship Type="http://schemas.openxmlformats.org/officeDocument/2006/relationships/worksheet" Target="/xl/worksheets/sheet4.xml" Id="R822d5883908647b2" /><Relationship Type="http://schemas.openxmlformats.org/officeDocument/2006/relationships/worksheet" Target="/xl/worksheets/sheet5.xml" Id="R2b5bb64d828d4c4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F7F7F"/>
  </x:sheetPr>
  <x:sheetViews>
    <x:sheetView showGridLines="0" workbookViewId="0"/>
  </x:sheetViews>
  <x:sheetFormatPr defaultColWidth="8.6796875" defaultRowHeight="15"/>
  <x:cols>
    <x:col min="1" max="1" width="16" hidden="0" customWidth="1"/>
    <x:col min="2" max="3" width="12" hidden="0" customWidth="1"/>
    <x:col min="4" max="4" width="34" hidden="0" customWidth="1"/>
    <x:col min="5" max="5" width="40" hidden="0" customWidth="1"/>
    <x:col min="6" max="6" width="36" hidden="0" customWidth="1"/>
  </x:cols>
  <x:sheetData>
    <x:row r="1" ht="21.600000381469727" hidden="0">
      <x:c r="A1" s="1" t="str">
        <x:v>产业链设计表 v2（15组合并精简版）：大件预支与“拥有之后”的问题</x:v>
      </x:c>
    </x:row>
    <x:row r="2" ht="15" hidden="0">
      <x:c r="A2" s="2" t="str">
        <x:v>沿用原表的物品、建筑配方、使用维护及大件统计结构；合并15组同质物品，同时重连上下游依赖。具体对应见“合并记录”。</x:v>
      </x:c>
    </x:row>
    <x:row r="4" ht="15" hidden="0">
      <x:c r="A4" s="3" t="s">
        <x:v>0</x:v>
      </x:c>
    </x:row>
    <x:row r="5" ht="30" hidden="0" customHeight="1">
      <x:c r="A5" s="4" t="s">
        <x:v>1</x:v>
      </x:c>
      <x:c r="B5" s="4"/>
      <x:c r="C5" s="4"/>
      <x:c r="D5" s="4"/>
      <x:c r="E5" s="4"/>
      <x:c r="F5" s="4"/>
    </x:row>
    <x:row r="6" ht="30" hidden="0" customHeight="1">
      <x:c r="A6" s="4" t="s">
        <x:v>2</x:v>
      </x:c>
      <x:c r="B6" s="4"/>
      <x:c r="C6" s="4"/>
      <x:c r="D6" s="4"/>
      <x:c r="E6" s="4"/>
      <x:c r="F6" s="4"/>
    </x:row>
    <x:row r="7" ht="30" hidden="0" customHeight="1">
      <x:c r="A7" s="4" t="s">
        <x:v>3</x:v>
      </x:c>
      <x:c r="B7" s="4"/>
      <x:c r="C7" s="4"/>
      <x:c r="D7" s="4"/>
      <x:c r="E7" s="4"/>
      <x:c r="F7" s="4"/>
    </x:row>
    <x:row r="8" ht="30" hidden="0" customHeight="1">
      <x:c r="A8" s="4" t="s">
        <x:v>4</x:v>
      </x:c>
      <x:c r="B8" s="4"/>
      <x:c r="C8" s="4"/>
      <x:c r="D8" s="4"/>
      <x:c r="E8" s="4"/>
      <x:c r="F8" s="4"/>
    </x:row>
    <x:row r="9" ht="30" hidden="0" customHeight="1">
      <x:c r="A9" s="4" t="s">
        <x:v>5</x:v>
      </x:c>
      <x:c r="B9" s="4"/>
      <x:c r="C9" s="4"/>
      <x:c r="D9" s="4"/>
      <x:c r="E9" s="4"/>
      <x:c r="F9" s="4"/>
    </x:row>
    <x:row r="11" ht="15" hidden="0">
      <x:c r="A11" s="3" t="s">
        <x:v>6</x:v>
      </x:c>
    </x:row>
    <x:row r="12" ht="15" hidden="0">
      <x:c r="A12" s="5" t="s">
        <x:v>7</x:v>
      </x:c>
      <x:c r="B12" s="5" t="s">
        <x:v>8</x:v>
      </x:c>
      <x:c r="C12" s="5" t="s">
        <x:v>9</x:v>
      </x:c>
      <x:c r="D12" s="5" t="s">
        <x:v>10</x:v>
      </x:c>
      <x:c r="E12" s="5" t="s">
        <x:v>11</x:v>
      </x:c>
      <x:c r="F12" s="5" t="s">
        <x:v>12</x:v>
      </x:c>
    </x:row>
    <x:row r="13" ht="30" hidden="0" customHeight="1">
      <x:c r="A13" s="6" t="s">
        <x:v>13</x:v>
      </x:c>
      <x:c r="B13" s="6" t="s">
        <x:v>14</x:v>
      </x:c>
      <x:c r="C13" s="6" t="s">
        <x:v>15</x:v>
      </x:c>
      <x:c r="D13" s="6" t="s">
        <x:v>16</x:v>
      </x:c>
      <x:c r="E13" s="6" t="s">
        <x:v>17</x:v>
      </x:c>
      <x:c r="F13" s="6" t="s">
        <x:v>18</x:v>
      </x:c>
    </x:row>
    <x:row r="14" ht="30" hidden="0" customHeight="1">
      <x:c r="A14" s="6" t="s">
        <x:v>19</x:v>
      </x:c>
      <x:c r="B14" s="6" t="s">
        <x:v>14</x:v>
      </x:c>
      <x:c r="C14" s="6" t="s">
        <x:v>15</x:v>
      </x:c>
      <x:c r="D14" s="6" t="s">
        <x:v>20</x:v>
      </x:c>
      <x:c r="E14" s="6" t="s">
        <x:v>21</x:v>
      </x:c>
      <x:c r="F14" s="6" t="s">
        <x:v>18</x:v>
      </x:c>
    </x:row>
    <x:row r="15" ht="30" hidden="0" customHeight="1">
      <x:c r="A15" s="6" t="s">
        <x:v>22</x:v>
      </x:c>
      <x:c r="B15" s="6" t="s">
        <x:v>14</x:v>
      </x:c>
      <x:c r="C15" s="6" t="s">
        <x:v>23</x:v>
      </x:c>
      <x:c r="D15" s="6" t="s">
        <x:v>24</x:v>
      </x:c>
      <x:c r="E15" s="6" t="s">
        <x:v>25</x:v>
      </x:c>
      <x:c r="F15" s="6" t="s">
        <x:v>18</x:v>
      </x:c>
    </x:row>
    <x:row r="16" ht="30" hidden="0" customHeight="1">
      <x:c r="A16" s="6" t="s">
        <x:v>26</x:v>
      </x:c>
      <x:c r="B16" s="6" t="s">
        <x:v>14</x:v>
      </x:c>
      <x:c r="C16" s="6" t="s">
        <x:v>27</x:v>
      </x:c>
      <x:c r="D16" s="6" t="s">
        <x:v>28</x:v>
      </x:c>
      <x:c r="E16" s="6" t="str">
        <x:v>医疗用品、诊疗；防护 = 劳保用品（粉尘/化工）与安全装备（矿山/重工）</x:v>
      </x:c>
      <x:c r="F16" s="6" t="s">
        <x:v>29</x:v>
      </x:c>
    </x:row>
    <x:row r="17" ht="30" hidden="0" customHeight="1">
      <x:c r="A17" s="6" t="s">
        <x:v>30</x:v>
      </x:c>
      <x:c r="B17" s="6" t="s">
        <x:v>14</x:v>
      </x:c>
      <x:c r="C17" s="6" t="s">
        <x:v>23</x:v>
      </x:c>
      <x:c r="D17" s="6" t="s">
        <x:v>31</x:v>
      </x:c>
      <x:c r="E17" s="6" t="str">
        <x:v>清洁用品、清水、澡堂、洗衣机</x:v>
      </x:c>
      <x:c r="F17" s="6" t="s">
        <x:v>29</x:v>
      </x:c>
    </x:row>
    <x:row r="18" ht="30" hidden="0" customHeight="1">
      <x:c r="A18" s="6" t="s">
        <x:v>32</x:v>
      </x:c>
      <x:c r="B18" s="6" t="s">
        <x:v>33</x:v>
      </x:c>
      <x:c r="C18" s="6" t="s">
        <x:v>34</x:v>
      </x:c>
      <x:c r="D18" s="6" t="s">
        <x:v>35</x:v>
      </x:c>
      <x:c r="E18" s="6" t="s">
        <x:v>36</x:v>
      </x:c>
      <x:c r="F18" s="6" t="s">
        <x:v>29</x:v>
      </x:c>
    </x:row>
    <x:row r="19" ht="30" hidden="0" customHeight="1">
      <x:c r="A19" s="6" t="s">
        <x:v>37</x:v>
      </x:c>
      <x:c r="B19" s="6" t="s">
        <x:v>38</x:v>
      </x:c>
      <x:c r="C19" s="6" t="s">
        <x:v>34</x:v>
      </x:c>
      <x:c r="D19" s="6" t="s">
        <x:v>39</x:v>
      </x:c>
      <x:c r="E19" s="6" t="s">
        <x:v>40</x:v>
      </x:c>
      <x:c r="F19" s="6" t="s">
        <x:v>29</x:v>
      </x:c>
    </x:row>
    <x:row r="20" ht="30" hidden="0" customHeight="1">
      <x:c r="A20" s="6" t="s">
        <x:v>41</x:v>
      </x:c>
      <x:c r="B20" s="6" t="s">
        <x:v>42</x:v>
      </x:c>
      <x:c r="C20" s="6" t="s">
        <x:v>43</x:v>
      </x:c>
      <x:c r="D20" s="6" t="s">
        <x:v>44</x:v>
      </x:c>
      <x:c r="E20" s="6" t="s">
        <x:v>45</x:v>
      </x:c>
      <x:c r="F20" s="6" t="s">
        <x:v>46</x:v>
      </x:c>
    </x:row>
    <x:row r="21" ht="30" hidden="0" customHeight="1">
      <x:c r="A21" s="6" t="s">
        <x:v>47</x:v>
      </x:c>
      <x:c r="B21" s="6" t="s">
        <x:v>48</x:v>
      </x:c>
      <x:c r="C21" s="6" t="s">
        <x:v>49</x:v>
      </x:c>
      <x:c r="D21" s="6" t="s">
        <x:v>50</x:v>
      </x:c>
      <x:c r="E21" s="6" t="s">
        <x:v>51</x:v>
      </x:c>
      <x:c r="F21" s="6" t="s">
        <x:v>29</x:v>
      </x:c>
    </x:row>
    <x:row r="22" ht="30" hidden="0" customHeight="1">
      <x:c r="A22" s="6" t="s">
        <x:v>52</x:v>
      </x:c>
      <x:c r="B22" s="6" t="s">
        <x:v>14</x:v>
      </x:c>
      <x:c r="C22" s="6" t="s">
        <x:v>53</x:v>
      </x:c>
      <x:c r="D22" s="6" t="s">
        <x:v>54</x:v>
      </x:c>
      <x:c r="E22" s="6" t="s">
        <x:v>55</x:v>
      </x:c>
      <x:c r="F22" s="6" t="s">
        <x:v>29</x:v>
      </x:c>
    </x:row>
    <x:row r="24" ht="15" hidden="0">
      <x:c r="A24" s="3" t="s">
        <x:v>56</x:v>
      </x:c>
    </x:row>
    <x:row r="25" ht="15" hidden="0" customHeight="1">
      <x:c r="A25" s="7" t="s">
        <x:v>57</x:v>
      </x:c>
      <x:c r="B25" s="8" t="s">
        <x:v>58</x:v>
      </x:c>
      <x:c r="C25" s="8"/>
      <x:c r="D25" s="8"/>
      <x:c r="E25" s="8"/>
      <x:c r="F25" s="8"/>
    </x:row>
    <x:row r="26" ht="15" hidden="0" customHeight="1">
      <x:c r="A26" s="7" t="s">
        <x:v>59</x:v>
      </x:c>
      <x:c r="B26" s="8" t="s">
        <x:v>60</x:v>
      </x:c>
      <x:c r="C26" s="8"/>
      <x:c r="D26" s="8"/>
      <x:c r="E26" s="8"/>
      <x:c r="F26" s="8"/>
    </x:row>
    <x:row r="27" ht="15" hidden="0" customHeight="1">
      <x:c r="A27" s="7" t="s">
        <x:v>61</x:v>
      </x:c>
      <x:c r="B27" s="8" t="s">
        <x:v>62</x:v>
      </x:c>
      <x:c r="C27" s="8"/>
      <x:c r="D27" s="8"/>
      <x:c r="E27" s="8"/>
      <x:c r="F27" s="8"/>
    </x:row>
    <x:row r="29" ht="15" hidden="0">
      <x:c r="A29" s="3" t="s">
        <x:v>63</x:v>
      </x:c>
    </x:row>
    <x:row r="30" ht="27.75" hidden="0" customHeight="1">
      <x:c r="A30" s="8" t="s">
        <x:v>64</x:v>
      </x:c>
      <x:c r="B30" s="8"/>
      <x:c r="C30" s="8"/>
      <x:c r="D30" s="8"/>
      <x:c r="E30" s="8"/>
      <x:c r="F30" s="8"/>
    </x:row>
    <x:row r="31" ht="27.75" hidden="0" customHeight="1">
      <x:c r="A31" s="8" t="s">
        <x:v>65</x:v>
      </x:c>
      <x:c r="B31" s="8"/>
      <x:c r="C31" s="8"/>
      <x:c r="D31" s="8"/>
      <x:c r="E31" s="8"/>
      <x:c r="F31" s="8"/>
    </x:row>
    <x:row r="32" ht="27.75" hidden="0" customHeight="1">
      <x:c r="A32" s="8" t="s">
        <x:v>66</x:v>
      </x:c>
      <x:c r="B32" s="8"/>
      <x:c r="C32" s="8"/>
      <x:c r="D32" s="8"/>
      <x:c r="E32" s="8"/>
      <x:c r="F32" s="8"/>
    </x:row>
    <x:row r="33" ht="27.75" hidden="0" customHeight="1">
      <x:c r="A33" s="8" t="s">
        <x:v>67</x:v>
      </x:c>
      <x:c r="B33" s="8"/>
      <x:c r="C33" s="8"/>
      <x:c r="D33" s="8"/>
      <x:c r="E33" s="8"/>
      <x:c r="F33" s="8"/>
    </x:row>
    <x:row r="34" ht="27.75" hidden="0" customHeight="1">
      <x:c r="A34" s="8" t="s">
        <x:v>68</x:v>
      </x:c>
      <x:c r="B34" s="8"/>
      <x:c r="C34" s="8"/>
      <x:c r="D34" s="8"/>
      <x:c r="E34" s="8"/>
      <x:c r="F34" s="8"/>
    </x:row>
    <x:row r="35" ht="27.75" hidden="0" customHeight="1">
      <x:c r="A35" s="8" t="s">
        <x:v>69</x:v>
      </x:c>
      <x:c r="B35" s="8"/>
      <x:c r="C35" s="8"/>
      <x:c r="D35" s="8"/>
      <x:c r="E35" s="8"/>
      <x:c r="F35" s="8"/>
    </x:row>
    <x:row r="36" ht="27.75" hidden="0" customHeight="1">
      <x:c r="A36" s="8" t="str">
        <x:v>• 保留的底座物品（面包、清水、麦酒、速食、衣物、工具）各自带有明确问题：麦酒的副作用，速食的省时与失去休息，衣物制造“脏”，工具的耐久。</x:v>
      </x:c>
      <x:c r="B36" s="8"/>
      <x:c r="C36" s="8"/>
      <x:c r="D36" s="8"/>
      <x:c r="E36" s="8"/>
      <x:c r="F36" s="8"/>
    </x:row>
  </x:sheetData>
  <x:mergeCells>
    <x:mergeCell ref="A5:F5"/>
    <x:mergeCell ref="A6:F6"/>
    <x:mergeCell ref="A7:F7"/>
    <x:mergeCell ref="A8:F8"/>
    <x:mergeCell ref="A9:F9"/>
    <x:mergeCell ref="B25:F25"/>
    <x:mergeCell ref="B26:F26"/>
    <x:mergeCell ref="B27:F27"/>
    <x:mergeCell ref="A30:F30"/>
    <x:mergeCell ref="A31:F31"/>
    <x:mergeCell ref="A32:F32"/>
    <x:mergeCell ref="A33:F33"/>
    <x:mergeCell ref="A34:F34"/>
    <x:mergeCell ref="A35:F35"/>
    <x:mergeCell ref="A36:F3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48235"/>
  </x:sheetPr>
  <x:sheetViews>
    <x:sheetView showGridLines="1" workbookViewId="0">
      <x:pane xSplit="2" ySplit="3" topLeftCell="C4" activePane="bottomRight" state="frozen"/>
    </x:sheetView>
  </x:sheetViews>
  <x:sheetFormatPr defaultColWidth="8.6796875" defaultRowHeight="15"/>
  <x:cols>
    <x:col min="1" max="1" width="7" hidden="0" customWidth="1"/>
    <x:col min="2" max="2" width="12" hidden="0" customWidth="1"/>
    <x:col min="3" max="3" width="8" hidden="0" customWidth="1"/>
    <x:col min="4" max="4" width="9" hidden="0" customWidth="1"/>
    <x:col min="5" max="5" width="10" hidden="0" customWidth="1"/>
    <x:col min="6" max="6" width="14" hidden="0" customWidth="1"/>
    <x:col min="7" max="7" width="36" hidden="0" customWidth="1"/>
    <x:col min="8" max="8" width="24" hidden="0" customWidth="1"/>
    <x:col min="9" max="9" width="9" hidden="0" customWidth="1"/>
    <x:col min="10" max="10" width="8" hidden="0" customWidth="1"/>
    <x:col min="11" max="11" width="46" hidden="0" customWidth="1"/>
    <x:col min="12" max="13" width="8" hidden="0" customWidth="1"/>
    <x:col min="14" max="14" width="18" hidden="0" customWidth="1"/>
  </x:cols>
  <x:sheetData>
    <x:row r="1" ht="17.350000381469727" hidden="0">
      <x:c r="A1" s="1" t="s">
        <x:v>70</x:v>
      </x:c>
    </x:row>
    <x:row r="2" ht="15" hidden="0">
      <x:c r="A2" s="2" t="s">
        <x:v>71</x:v>
      </x:c>
    </x:row>
    <x:row r="3" ht="33.75" hidden="0" customHeight="1">
      <x:c r="A3" s="9" t="s">
        <x:v>72</x:v>
      </x:c>
      <x:c r="B3" s="5" t="s">
        <x:v>57</x:v>
      </x:c>
      <x:c r="C3" s="5" t="s">
        <x:v>73</x:v>
      </x:c>
      <x:c r="D3" s="5" t="s">
        <x:v>74</x:v>
      </x:c>
      <x:c r="E3" s="5" t="s">
        <x:v>75</x:v>
      </x:c>
      <x:c r="F3" s="5" t="s">
        <x:v>76</x:v>
      </x:c>
      <x:c r="G3" s="5" t="s">
        <x:v>77</x:v>
      </x:c>
      <x:c r="H3" s="5" t="s">
        <x:v>78</x:v>
      </x:c>
      <x:c r="I3" s="5" t="s">
        <x:v>79</x:v>
      </x:c>
      <x:c r="J3" s="5" t="s">
        <x:v>12</x:v>
      </x:c>
      <x:c r="K3" s="5" t="s">
        <x:v>80</x:v>
      </x:c>
      <x:c r="L3" s="5" t="s">
        <x:v>81</x:v>
      </x:c>
      <x:c r="M3" s="5" t="s">
        <x:v>82</x:v>
      </x:c>
      <x:c r="N3" s="5" t="s">
        <x:v>83</x:v>
      </x:c>
    </x:row>
    <x:row r="4" ht="15" hidden="0">
      <x:c r="A4" s="10" t="str">
        <x:v>I001</x:v>
      </x:c>
      <x:c r="B4" s="6" t="str">
        <x:v>砂岩</x:v>
      </x:c>
      <x:c r="C4" s="11" t="str">
        <x:v>中世纪</x:v>
      </x:c>
      <x:c r="D4" s="64" t="str">
        <x:v>原料</x:v>
      </x:c>
      <x:c r="E4" s="6" t="str">
        <x:v>固体矿</x:v>
      </x:c>
      <x:c r="F4" s="6"/>
      <x:c r="G4" s="6"/>
      <x:c r="H4" s="6"/>
      <x:c r="I4" s="10"/>
      <x:c r="J4" s="13" t="str">
        <x:v>现有</x:v>
      </x:c>
      <x:c r="K4" s="6"/>
      <x:c r="L4" s="10" t="n">
        <x:f aca="0">COUNTIF(建筑配方!$M$4:$M$118,B4)+COUNTIF(建筑配方!$N$4:$N$118,B4)</x:f>
        <x:v>0</x:v>
      </x:c>
      <x:c r="M4" s="10" t="n">
        <x:f aca="0">SUMPRODUCT(--(建筑配方!$G$4:$L$118=B4))</x:f>
        <x:v>5</x:v>
      </x:c>
      <x:c r="N4" s="10" t="str">
        <x:f aca="0">IF(AND(D4&lt;&gt;"原料",D4&lt;&gt;"燃料能源",L4=0),"⚠ 无来源",IF(AND(D4="日常用品",OR(F4="",H4="")),"⚠ 缺作用维度或问题来源",IF(OR(D4="大件",D4="日常用品",D4="服务品",D4="基础设施",D4="副产",D4="燃料能源",D4="金融品"),"OK",IF(M4=0,"⚠ 无去向","OK"))))</x:f>
        <x:v>OK</x:v>
      </x:c>
    </x:row>
    <x:row r="5" ht="15" hidden="0">
      <x:c r="A5" s="10" t="str">
        <x:v>I002</x:v>
      </x:c>
      <x:c r="B5" s="6" t="str">
        <x:v>花岗岩</x:v>
      </x:c>
      <x:c r="C5" s="11" t="str">
        <x:v>中世纪</x:v>
      </x:c>
      <x:c r="D5" s="64" t="str">
        <x:v>原料</x:v>
      </x:c>
      <x:c r="E5" s="6" t="str">
        <x:v>固体矿</x:v>
      </x:c>
      <x:c r="F5" s="6"/>
      <x:c r="G5" s="6"/>
      <x:c r="H5" s="6"/>
      <x:c r="I5" s="10"/>
      <x:c r="J5" s="13" t="str">
        <x:v>现有</x:v>
      </x:c>
      <x:c r="K5" s="6"/>
      <x:c r="L5" s="10" t="n">
        <x:f aca="0">COUNTIF(建筑配方!$M$4:$M$118,B5)+COUNTIF(建筑配方!$N$4:$N$118,B5)</x:f>
        <x:v>0</x:v>
      </x:c>
      <x:c r="M5" s="10" t="n">
        <x:f aca="0">SUMPRODUCT(--(建筑配方!$G$4:$L$118=B5))</x:f>
        <x:v>2</x:v>
      </x:c>
      <x:c r="N5" s="10" t="str">
        <x:f aca="0">IF(AND(D5&lt;&gt;"原料",D5&lt;&gt;"燃料能源",L5=0),"⚠ 无来源",IF(AND(D5="日常用品",OR(F5="",H5="")),"⚠ 缺作用维度或问题来源",IF(OR(D5="大件",D5="日常用品",D5="服务品",D5="基础设施",D5="副产",D5="燃料能源",D5="金融品"),"OK",IF(M5=0,"⚠ 无去向","OK"))))</x:f>
        <x:v>OK</x:v>
      </x:c>
    </x:row>
    <x:row r="6" ht="15" hidden="0">
      <x:c r="A6" s="10" t="str">
        <x:v>I003</x:v>
      </x:c>
      <x:c r="B6" s="6" t="str">
        <x:v>铜矿</x:v>
      </x:c>
      <x:c r="C6" s="11" t="str">
        <x:v>中世纪</x:v>
      </x:c>
      <x:c r="D6" s="64" t="str">
        <x:v>原料</x:v>
      </x:c>
      <x:c r="E6" s="6" t="str">
        <x:v>固体矿</x:v>
      </x:c>
      <x:c r="F6" s="6"/>
      <x:c r="G6" s="6"/>
      <x:c r="H6" s="6"/>
      <x:c r="I6" s="10"/>
      <x:c r="J6" s="13" t="str">
        <x:v>现有</x:v>
      </x:c>
      <x:c r="K6" s="6"/>
      <x:c r="L6" s="10" t="n">
        <x:f aca="0">COUNTIF(建筑配方!$M$4:$M$118,B6)+COUNTIF(建筑配方!$N$4:$N$118,B6)</x:f>
        <x:v>0</x:v>
      </x:c>
      <x:c r="M6" s="10" t="n">
        <x:f aca="0">SUMPRODUCT(--(建筑配方!$G$4:$L$118=B6))</x:f>
        <x:v>1</x:v>
      </x:c>
      <x:c r="N6" s="10" t="str">
        <x:f aca="0">IF(AND(D6&lt;&gt;"原料",D6&lt;&gt;"燃料能源",L6=0),"⚠ 无来源",IF(AND(D6="日常用品",OR(F6="",H6="")),"⚠ 缺作用维度或问题来源",IF(OR(D6="大件",D6="日常用品",D6="服务品",D6="基础设施",D6="副产",D6="燃料能源",D6="金融品"),"OK",IF(M6=0,"⚠ 无去向","OK"))))</x:f>
        <x:v>OK</x:v>
      </x:c>
    </x:row>
    <x:row r="7" ht="15" hidden="0">
      <x:c r="A7" s="10" t="str">
        <x:v>I004</x:v>
      </x:c>
      <x:c r="B7" s="6" t="str">
        <x:v>煤</x:v>
      </x:c>
      <x:c r="C7" s="11" t="str">
        <x:v>中世纪</x:v>
      </x:c>
      <x:c r="D7" s="64" t="str">
        <x:v>原料</x:v>
      </x:c>
      <x:c r="E7" s="6" t="str">
        <x:v>固体矿</x:v>
      </x:c>
      <x:c r="F7" s="6"/>
      <x:c r="G7" s="6"/>
      <x:c r="H7" s="6"/>
      <x:c r="I7" s="10"/>
      <x:c r="J7" s="13" t="str">
        <x:v>现有</x:v>
      </x:c>
      <x:c r="K7" s="6"/>
      <x:c r="L7" s="10" t="n">
        <x:f aca="0">COUNTIF(建筑配方!$M$4:$M$118,B7)+COUNTIF(建筑配方!$N$4:$N$118,B7)</x:f>
        <x:v>0</x:v>
      </x:c>
      <x:c r="M7" s="10" t="n">
        <x:f aca="0">SUMPRODUCT(--(建筑配方!$G$4:$L$118=B7))</x:f>
        <x:v>6</x:v>
      </x:c>
      <x:c r="N7" s="10" t="str">
        <x:f aca="0">IF(AND(D7&lt;&gt;"原料",D7&lt;&gt;"燃料能源",L7=0),"⚠ 无来源",IF(AND(D7="日常用品",OR(F7="",H7="")),"⚠ 缺作用维度或问题来源",IF(OR(D7="大件",D7="日常用品",D7="服务品",D7="基础设施",D7="副产",D7="燃料能源",D7="金融品"),"OK",IF(M7=0,"⚠ 无去向","OK"))))</x:f>
        <x:v>OK</x:v>
      </x:c>
    </x:row>
    <x:row r="8" ht="15" hidden="0">
      <x:c r="A8" s="10" t="str">
        <x:v>I005</x:v>
      </x:c>
      <x:c r="B8" s="6" t="str">
        <x:v>水</x:v>
      </x:c>
      <x:c r="C8" s="11" t="str">
        <x:v>中世纪</x:v>
      </x:c>
      <x:c r="D8" s="64" t="str">
        <x:v>原料</x:v>
      </x:c>
      <x:c r="E8" s="6" t="str">
        <x:v>流体</x:v>
      </x:c>
      <x:c r="F8" s="6"/>
      <x:c r="G8" s="6"/>
      <x:c r="H8" s="6"/>
      <x:c r="I8" s="10"/>
      <x:c r="J8" s="13" t="str">
        <x:v>现有</x:v>
      </x:c>
      <x:c r="K8" s="6"/>
      <x:c r="L8" s="10" t="n">
        <x:f aca="0">COUNTIF(建筑配方!$M$4:$M$118,B8)+COUNTIF(建筑配方!$N$4:$N$118,B8)</x:f>
        <x:v>1</x:v>
      </x:c>
      <x:c r="M8" s="10" t="n">
        <x:f aca="0">SUMPRODUCT(--(建筑配方!$G$4:$L$118=B8))</x:f>
        <x:v>13</x:v>
      </x:c>
      <x:c r="N8" s="10" t="str">
        <x:f aca="0">IF(AND(D8&lt;&gt;"原料",D8&lt;&gt;"燃料能源",L8=0),"⚠ 无来源",IF(AND(D8="日常用品",OR(F8="",H8="")),"⚠ 缺作用维度或问题来源",IF(OR(D8="大件",D8="日常用品",D8="服务品",D8="基础设施",D8="副产",D8="燃料能源",D8="金融品"),"OK",IF(M8=0,"⚠ 无去向","OK"))))</x:f>
        <x:v>OK</x:v>
      </x:c>
    </x:row>
    <x:row r="9" ht="15" hidden="0">
      <x:c r="A9" s="10" t="str">
        <x:v>I006</x:v>
      </x:c>
      <x:c r="B9" s="6" t="str">
        <x:v>小麦</x:v>
      </x:c>
      <x:c r="C9" s="11" t="str">
        <x:v>中世纪</x:v>
      </x:c>
      <x:c r="D9" s="64" t="str">
        <x:v>原料</x:v>
      </x:c>
      <x:c r="E9" s="6" t="str">
        <x:v>农作物</x:v>
      </x:c>
      <x:c r="F9" s="6"/>
      <x:c r="G9" s="6"/>
      <x:c r="H9" s="6"/>
      <x:c r="I9" s="10"/>
      <x:c r="J9" s="13" t="str">
        <x:v>现有</x:v>
      </x:c>
      <x:c r="K9" s="6"/>
      <x:c r="L9" s="10" t="n">
        <x:f aca="0">COUNTIF(建筑配方!$M$4:$M$118,B9)+COUNTIF(建筑配方!$N$4:$N$118,B9)</x:f>
        <x:v>2</x:v>
      </x:c>
      <x:c r="M9" s="10" t="n">
        <x:f aca="0">SUMPRODUCT(--(建筑配方!$G$4:$L$118=B9))</x:f>
        <x:v>5</x:v>
      </x:c>
      <x:c r="N9" s="10" t="str">
        <x:f aca="0">IF(AND(D9&lt;&gt;"原料",D9&lt;&gt;"燃料能源",L9=0),"⚠ 无来源",IF(AND(D9="日常用品",OR(F9="",H9="")),"⚠ 缺作用维度或问题来源",IF(OR(D9="大件",D9="日常用品",D9="服务品",D9="基础设施",D9="副产",D9="燃料能源",D9="金融品"),"OK",IF(M9=0,"⚠ 无去向","OK"))))</x:f>
        <x:v>OK</x:v>
      </x:c>
    </x:row>
    <x:row r="10" ht="15" hidden="0">
      <x:c r="A10" s="10" t="str">
        <x:v>I007</x:v>
      </x:c>
      <x:c r="B10" s="6" t="str">
        <x:v>木材</x:v>
      </x:c>
      <x:c r="C10" s="11" t="str">
        <x:v>中世纪</x:v>
      </x:c>
      <x:c r="D10" s="64" t="str">
        <x:v>原料</x:v>
      </x:c>
      <x:c r="E10" s="6" t="str">
        <x:v>林木</x:v>
      </x:c>
      <x:c r="F10" s="6"/>
      <x:c r="G10" s="6"/>
      <x:c r="H10" s="6"/>
      <x:c r="I10" s="10"/>
      <x:c r="J10" s="13" t="str">
        <x:v>新增</x:v>
      </x:c>
      <x:c r="K10" s="6"/>
      <x:c r="L10" s="10" t="n">
        <x:f aca="0">COUNTIF(建筑配方!$M$4:$M$118,B10)+COUNTIF(建筑配方!$N$4:$N$118,B10)</x:f>
        <x:v>1</x:v>
      </x:c>
      <x:c r="M10" s="10" t="n">
        <x:f aca="0">SUMPRODUCT(--(建筑配方!$G$4:$L$118=B10))</x:f>
        <x:v>2</x:v>
      </x:c>
      <x:c r="N10" s="10" t="str">
        <x:f aca="0">IF(AND(D10&lt;&gt;"原料",D10&lt;&gt;"燃料能源",L10=0),"⚠ 无来源",IF(AND(D10="日常用品",OR(F10="",H10="")),"⚠ 缺作用维度或问题来源",IF(OR(D10="大件",D10="日常用品",D10="服务品",D10="基础设施",D10="副产",D10="燃料能源",D10="金融品"),"OK",IF(M10=0,"⚠ 无去向","OK"))))</x:f>
        <x:v>OK</x:v>
      </x:c>
    </x:row>
    <x:row r="11" ht="15" hidden="0">
      <x:c r="A11" s="10" t="str">
        <x:v>I008</x:v>
      </x:c>
      <x:c r="B11" s="6" t="str">
        <x:v>铁矿</x:v>
      </x:c>
      <x:c r="C11" s="11" t="str">
        <x:v>中世纪</x:v>
      </x:c>
      <x:c r="D11" s="64" t="str">
        <x:v>原料</x:v>
      </x:c>
      <x:c r="E11" s="6" t="str">
        <x:v>固体矿</x:v>
      </x:c>
      <x:c r="F11" s="6"/>
      <x:c r="G11" s="6"/>
      <x:c r="H11" s="6"/>
      <x:c r="I11" s="10"/>
      <x:c r="J11" s="13" t="str">
        <x:v>新增</x:v>
      </x:c>
      <x:c r="K11" s="6"/>
      <x:c r="L11" s="10" t="n">
        <x:f aca="0">COUNTIF(建筑配方!$M$4:$M$118,B11)+COUNTIF(建筑配方!$N$4:$N$118,B11)</x:f>
        <x:v>0</x:v>
      </x:c>
      <x:c r="M11" s="10" t="n">
        <x:f aca="0">SUMPRODUCT(--(建筑配方!$G$4:$L$118=B11))</x:f>
        <x:v>2</x:v>
      </x:c>
      <x:c r="N11" s="10" t="str">
        <x:f aca="0">IF(AND(D11&lt;&gt;"原料",D11&lt;&gt;"燃料能源",L11=0),"⚠ 无来源",IF(AND(D11="日常用品",OR(F11="",H11="")),"⚠ 缺作用维度或问题来源",IF(OR(D11="大件",D11="日常用品",D11="服务品",D11="基础设施",D11="副产",D11="燃料能源",D11="金融品"),"OK",IF(M11=0,"⚠ 无去向","OK"))))</x:f>
        <x:v>OK</x:v>
      </x:c>
    </x:row>
    <x:row r="12" ht="15" hidden="0">
      <x:c r="A12" s="10" t="str">
        <x:v>I009</x:v>
      </x:c>
      <x:c r="B12" s="6" t="str">
        <x:v>羊毛</x:v>
      </x:c>
      <x:c r="C12" s="11" t="str">
        <x:v>中世纪</x:v>
      </x:c>
      <x:c r="D12" s="64" t="str">
        <x:v>原料</x:v>
      </x:c>
      <x:c r="E12" s="6" t="str">
        <x:v>生物产出</x:v>
      </x:c>
      <x:c r="F12" s="6"/>
      <x:c r="G12" s="6"/>
      <x:c r="H12" s="6"/>
      <x:c r="I12" s="10"/>
      <x:c r="J12" s="13" t="str">
        <x:v>新增</x:v>
      </x:c>
      <x:c r="K12" s="6"/>
      <x:c r="L12" s="10" t="n">
        <x:f aca="0">COUNTIF(建筑配方!$M$4:$M$118,B12)+COUNTIF(建筑配方!$N$4:$N$118,B12)</x:f>
        <x:v>1</x:v>
      </x:c>
      <x:c r="M12" s="10" t="n">
        <x:f aca="0">SUMPRODUCT(--(建筑配方!$G$4:$L$118=B12))</x:f>
        <x:v>4</x:v>
      </x:c>
      <x:c r="N12" s="10" t="str">
        <x:f aca="0">IF(AND(D12&lt;&gt;"原料",D12&lt;&gt;"燃料能源",L12=0),"⚠ 无来源",IF(AND(D12="日常用品",OR(F12="",H12="")),"⚠ 缺作用维度或问题来源",IF(OR(D12="大件",D12="日常用品",D12="服务品",D12="基础设施",D12="副产",D12="燃料能源",D12="金融品"),"OK",IF(M12=0,"⚠ 无去向","OK"))))</x:f>
        <x:v>OK</x:v>
      </x:c>
    </x:row>
    <x:row r="13" ht="15" hidden="0">
      <x:c r="A13" s="10" t="str">
        <x:v>I010</x:v>
      </x:c>
      <x:c r="B13" s="6" t="str">
        <x:v>硅砂</x:v>
      </x:c>
      <x:c r="C13" s="14" t="str">
        <x:v>工业化</x:v>
      </x:c>
      <x:c r="D13" s="64" t="str">
        <x:v>原料</x:v>
      </x:c>
      <x:c r="E13" s="6" t="str">
        <x:v>固体矿</x:v>
      </x:c>
      <x:c r="F13" s="6"/>
      <x:c r="G13" s="6"/>
      <x:c r="H13" s="6"/>
      <x:c r="I13" s="10"/>
      <x:c r="J13" s="13" t="str">
        <x:v>新增</x:v>
      </x:c>
      <x:c r="K13" s="6"/>
      <x:c r="L13" s="10" t="n">
        <x:f aca="0">COUNTIF(建筑配方!$M$4:$M$118,B13)+COUNTIF(建筑配方!$N$4:$N$118,B13)</x:f>
        <x:v>0</x:v>
      </x:c>
      <x:c r="M13" s="10" t="n">
        <x:f aca="0">SUMPRODUCT(--(建筑配方!$G$4:$L$118=B13))</x:f>
        <x:v>2</x:v>
      </x:c>
      <x:c r="N13" s="10" t="str">
        <x:f aca="0">IF(AND(D13&lt;&gt;"原料",D13&lt;&gt;"燃料能源",L13=0),"⚠ 无来源",IF(AND(D13="日常用品",OR(F13="",H13="")),"⚠ 缺作用维度或问题来源",IF(OR(D13="大件",D13="日常用品",D13="服务品",D13="基础设施",D13="副产",D13="燃料能源",D13="金融品"),"OK",IF(M13=0,"⚠ 无去向","OK"))))</x:f>
        <x:v>OK</x:v>
      </x:c>
    </x:row>
    <x:row r="14" ht="15" hidden="0">
      <x:c r="A14" s="10" t="str">
        <x:v>I011</x:v>
      </x:c>
      <x:c r="B14" s="6" t="str">
        <x:v>原油</x:v>
      </x:c>
      <x:c r="C14" s="15" t="str">
        <x:v>现代</x:v>
      </x:c>
      <x:c r="D14" s="64" t="str">
        <x:v>原料</x:v>
      </x:c>
      <x:c r="E14" s="6" t="str">
        <x:v>流体</x:v>
      </x:c>
      <x:c r="F14" s="6"/>
      <x:c r="G14" s="6"/>
      <x:c r="H14" s="6"/>
      <x:c r="I14" s="10"/>
      <x:c r="J14" s="13" t="str">
        <x:v>新增</x:v>
      </x:c>
      <x:c r="K14" s="6"/>
      <x:c r="L14" s="10" t="n">
        <x:f aca="0">COUNTIF(建筑配方!$M$4:$M$118,B14)+COUNTIF(建筑配方!$N$4:$N$118,B14)</x:f>
        <x:v>0</x:v>
      </x:c>
      <x:c r="M14" s="10" t="n">
        <x:f aca="0">SUMPRODUCT(--(建筑配方!$G$4:$L$118=B14))</x:f>
        <x:v>2</x:v>
      </x:c>
      <x:c r="N14" s="10" t="str">
        <x:f aca="0">IF(AND(D14&lt;&gt;"原料",D14&lt;&gt;"燃料能源",L14=0),"⚠ 无来源",IF(AND(D14="日常用品",OR(F14="",H14="")),"⚠ 缺作用维度或问题来源",IF(OR(D14="大件",D14="日常用品",D14="服务品",D14="基础设施",D14="副产",D14="燃料能源",D14="金融品"),"OK",IF(M14=0,"⚠ 无去向","OK"))))</x:f>
        <x:v>OK</x:v>
      </x:c>
    </x:row>
    <x:row r="15" ht="15" hidden="0">
      <x:c r="A15" s="10" t="str">
        <x:v>I012</x:v>
      </x:c>
      <x:c r="B15" s="6" t="str">
        <x:v>铝土</x:v>
      </x:c>
      <x:c r="C15" s="15" t="str">
        <x:v>现代</x:v>
      </x:c>
      <x:c r="D15" s="64" t="str">
        <x:v>原料</x:v>
      </x:c>
      <x:c r="E15" s="6" t="str">
        <x:v>固体矿</x:v>
      </x:c>
      <x:c r="F15" s="6"/>
      <x:c r="G15" s="6"/>
      <x:c r="H15" s="6"/>
      <x:c r="I15" s="10"/>
      <x:c r="J15" s="13" t="str">
        <x:v>新增</x:v>
      </x:c>
      <x:c r="K15" s="6"/>
      <x:c r="L15" s="10" t="n">
        <x:f aca="0">COUNTIF(建筑配方!$M$4:$M$118,B15)+COUNTIF(建筑配方!$N$4:$N$118,B15)</x:f>
        <x:v>0</x:v>
      </x:c>
      <x:c r="M15" s="10" t="n">
        <x:f aca="0">SUMPRODUCT(--(建筑配方!$G$4:$L$118=B15))</x:f>
        <x:v>1</x:v>
      </x:c>
      <x:c r="N15" s="10" t="str">
        <x:f aca="0">IF(AND(D15&lt;&gt;"原料",D15&lt;&gt;"燃料能源",L15=0),"⚠ 无来源",IF(AND(D15="日常用品",OR(F15="",H15="")),"⚠ 缺作用维度或问题来源",IF(OR(D15="大件",D15="日常用品",D15="服务品",D15="基础设施",D15="副产",D15="燃料能源",D15="金融品"),"OK",IF(M15=0,"⚠ 无去向","OK"))))</x:f>
        <x:v>OK</x:v>
      </x:c>
    </x:row>
    <x:row r="16" ht="15" hidden="0">
      <x:c r="A16" s="10" t="str">
        <x:v>I013</x:v>
      </x:c>
      <x:c r="B16" s="6" t="str">
        <x:v>燃料</x:v>
      </x:c>
      <x:c r="C16" s="11" t="str">
        <x:v>中世纪</x:v>
      </x:c>
      <x:c r="D16" s="66" t="str">
        <x:v>燃料能源</x:v>
      </x:c>
      <x:c r="E16" s="6" t="str">
        <x:v>抽象物品</x:v>
      </x:c>
      <x:c r="F16" s="6"/>
      <x:c r="G16" s="6"/>
      <x:c r="H16" s="6"/>
      <x:c r="I16" s="10"/>
      <x:c r="J16" s="13" t="str">
        <x:v>现有</x:v>
      </x:c>
      <x:c r="K16" s="6" t="str">
        <x:v>抽象物品：煤或木炭均可。</x:v>
      </x:c>
      <x:c r="L16" s="10" t="n">
        <x:f aca="0">COUNTIF(建筑配方!$M$4:$M$118,B16)+COUNTIF(建筑配方!$N$4:$N$118,B16)</x:f>
        <x:v>0</x:v>
      </x:c>
      <x:c r="M16" s="10" t="n">
        <x:f aca="0">SUMPRODUCT(--(建筑配方!$G$4:$L$118=B16))</x:f>
        <x:v>7</x:v>
      </x:c>
      <x:c r="N16" s="10" t="str">
        <x:f aca="0">IF(AND(D16&lt;&gt;"原料",D16&lt;&gt;"燃料能源",L16=0),"⚠ 无来源",IF(AND(D16="日常用品",OR(F16="",H16="")),"⚠ 缺作用维度或问题来源",IF(OR(D16="大件",D16="日常用品",D16="服务品",D16="基础设施",D16="副产",D16="燃料能源",D16="金融品"),"OK",IF(M16=0,"⚠ 无去向","OK"))))</x:f>
        <x:v>OK</x:v>
      </x:c>
    </x:row>
    <x:row r="17" ht="15" hidden="0">
      <x:c r="A17" s="10" t="str">
        <x:v>I014</x:v>
      </x:c>
      <x:c r="B17" s="6" t="str">
        <x:v>木炭</x:v>
      </x:c>
      <x:c r="C17" s="11" t="str">
        <x:v>中世纪</x:v>
      </x:c>
      <x:c r="D17" s="66" t="str">
        <x:v>燃料能源</x:v>
      </x:c>
      <x:c r="E17" s="6" t="str">
        <x:v>燃料</x:v>
      </x:c>
      <x:c r="F17" s="6"/>
      <x:c r="G17" s="6"/>
      <x:c r="H17" s="6"/>
      <x:c r="I17" s="10"/>
      <x:c r="J17" s="13" t="str">
        <x:v>新增</x:v>
      </x:c>
      <x:c r="K17" s="6"/>
      <x:c r="L17" s="10" t="n">
        <x:f aca="0">COUNTIF(建筑配方!$M$4:$M$118,B17)+COUNTIF(建筑配方!$N$4:$N$118,B17)</x:f>
        <x:v>1</x:v>
      </x:c>
      <x:c r="M17" s="10" t="n">
        <x:f aca="0">SUMPRODUCT(--(建筑配方!$G$4:$L$118=B17))</x:f>
        <x:v>0</x:v>
      </x:c>
      <x:c r="N17" s="10" t="str">
        <x:f aca="0">IF(AND(D17&lt;&gt;"原料",D17&lt;&gt;"燃料能源",L17=0),"⚠ 无来源",IF(AND(D17="日常用品",OR(F17="",H17="")),"⚠ 缺作用维度或问题来源",IF(OR(D17="大件",D17="日常用品",D17="服务品",D17="基础设施",D17="副产",D17="燃料能源",D17="金融品"),"OK",IF(M17=0,"⚠ 无去向","OK"))))</x:f>
        <x:v>OK</x:v>
      </x:c>
    </x:row>
    <x:row r="18" ht="29.850000381469727" hidden="0">
      <x:c r="A18" s="10" t="str">
        <x:v>I015</x:v>
      </x:c>
      <x:c r="B18" s="6" t="str">
        <x:v>电</x:v>
      </x:c>
      <x:c r="C18" s="11" t="str">
        <x:v>中世纪</x:v>
      </x:c>
      <x:c r="D18" s="66" t="str">
        <x:v>燃料能源</x:v>
      </x:c>
      <x:c r="E18" s="6" t="str">
        <x:v>能源</x:v>
      </x:c>
      <x:c r="F18" s="6"/>
      <x:c r="G18" s="6"/>
      <x:c r="H18" s="6"/>
      <x:c r="I18" s="10"/>
      <x:c r="J18" s="13" t="str">
        <x:v>现有</x:v>
      </x:c>
      <x:c r="K18" s="6" t="str">
        <x:v>人力发电 → 火力发电；电网按线路瓦数上限供电（来自你的设计文案）。</x:v>
      </x:c>
      <x:c r="L18" s="10" t="n">
        <x:f aca="0">COUNTIF(建筑配方!$M$4:$M$118,B18)+COUNTIF(建筑配方!$N$4:$N$118,B18)</x:f>
        <x:v>3</x:v>
      </x:c>
      <x:c r="M18" s="10" t="n">
        <x:f aca="0">SUMPRODUCT(--(建筑配方!$G$4:$L$118=B18))</x:f>
        <x:v>3</x:v>
      </x:c>
      <x:c r="N18" s="10" t="str">
        <x:f aca="0">IF(AND(D18&lt;&gt;"原料",D18&lt;&gt;"燃料能源",L18=0),"⚠ 无来源",IF(AND(D18="日常用品",OR(F18="",H18="")),"⚠ 缺作用维度或问题来源",IF(OR(D18="大件",D18="日常用品",D18="服务品",D18="基础设施",D18="副产",D18="燃料能源",D18="金融品"),"OK",IF(M18=0,"⚠ 无去向","OK"))))</x:f>
        <x:v>OK</x:v>
      </x:c>
    </x:row>
    <x:row r="19" ht="15" hidden="0">
      <x:c r="A19" s="10" t="str">
        <x:v>I016</x:v>
      </x:c>
      <x:c r="B19" s="6" t="str">
        <x:v>面粉</x:v>
      </x:c>
      <x:c r="C19" s="11" t="str">
        <x:v>中世纪</x:v>
      </x:c>
      <x:c r="D19" s="68" t="str">
        <x:v>初级材料</x:v>
      </x:c>
      <x:c r="E19" s="6" t="str">
        <x:v>食品</x:v>
      </x:c>
      <x:c r="F19" s="6"/>
      <x:c r="G19" s="6"/>
      <x:c r="H19" s="6"/>
      <x:c r="I19" s="10"/>
      <x:c r="J19" s="13" t="str">
        <x:v>新增</x:v>
      </x:c>
      <x:c r="K19" s="6" t="str">
        <x:v>可选的拆分方案：磨房→面粉→面包房。</x:v>
      </x:c>
      <x:c r="L19" s="10" t="n">
        <x:f aca="0">COUNTIF(建筑配方!$M$4:$M$118,B19)+COUNTIF(建筑配方!$N$4:$N$118,B19)</x:f>
        <x:v>1</x:v>
      </x:c>
      <x:c r="M19" s="10" t="n">
        <x:f aca="0">SUMPRODUCT(--(建筑配方!$G$4:$L$118=B19))</x:f>
        <x:v>2</x:v>
      </x:c>
      <x:c r="N19" s="10" t="str">
        <x:f aca="0">IF(AND(D19&lt;&gt;"原料",D19&lt;&gt;"燃料能源",L19=0),"⚠ 无来源",IF(AND(D19="日常用品",OR(F19="",H19="")),"⚠ 缺作用维度或问题来源",IF(OR(D19="大件",D19="日常用品",D19="服务品",D19="基础设施",D19="副产",D19="燃料能源",D19="金融品"),"OK",IF(M19=0,"⚠ 无去向","OK"))))</x:f>
        <x:v>OK</x:v>
      </x:c>
    </x:row>
    <x:row r="20" ht="29.850000381469727" hidden="0">
      <x:c r="A20" s="10" t="str">
        <x:v>I017</x:v>
      </x:c>
      <x:c r="B20" s="6" t="str">
        <x:v>木板</x:v>
      </x:c>
      <x:c r="C20" s="11" t="str">
        <x:v>中世纪</x:v>
      </x:c>
      <x:c r="D20" s="68" t="str">
        <x:v>初级材料</x:v>
      </x:c>
      <x:c r="E20" s="6" t="str">
        <x:v>木材</x:v>
      </x:c>
      <x:c r="F20" s="6"/>
      <x:c r="G20" s="6"/>
      <x:c r="H20" s="6"/>
      <x:c r="I20" s="10"/>
      <x:c r="J20" s="13" t="str">
        <x:v>新增</x:v>
      </x:c>
      <x:c r="K20" s="6" t="str">
        <x:v>向下：屋顶、门窗、家具、屋顶修缮与木作。</x:v>
      </x:c>
      <x:c r="L20" s="10" t="n">
        <x:f aca="0">COUNTIF(建筑配方!$M$4:$M$118,B20)+COUNTIF(建筑配方!$N$4:$N$118,B20)</x:f>
        <x:v>1</x:v>
      </x:c>
      <x:c r="M20" s="10" t="n">
        <x:f aca="0">SUMPRODUCT(--(建筑配方!$G$4:$L$118=B20))</x:f>
        <x:v>7</x:v>
      </x:c>
      <x:c r="N20" s="10" t="str">
        <x:f aca="0">IF(AND(D20&lt;&gt;"原料",D20&lt;&gt;"燃料能源",L20=0),"⚠ 无来源",IF(AND(D20="日常用品",OR(F20="",H20="")),"⚠ 缺作用维度或问题来源",IF(OR(D20="大件",D20="日常用品",D20="服务品",D20="基础设施",D20="副产",D20="燃料能源",D20="金融品"),"OK",IF(M20=0,"⚠ 无去向","OK"))))</x:f>
        <x:v>OK</x:v>
      </x:c>
    </x:row>
    <x:row r="21" ht="15" hidden="0">
      <x:c r="A21" s="10" t="str">
        <x:v>I019</x:v>
      </x:c>
      <x:c r="B21" s="6" t="str">
        <x:v>屋瓦</x:v>
      </x:c>
      <x:c r="C21" s="11" t="str">
        <x:v>中世纪</x:v>
      </x:c>
      <x:c r="D21" s="68" t="str">
        <x:v>初级材料</x:v>
      </x:c>
      <x:c r="E21" s="6" t="str">
        <x:v>建材</x:v>
      </x:c>
      <x:c r="F21" s="6"/>
      <x:c r="G21" s="6"/>
      <x:c r="H21" s="6"/>
      <x:c r="I21" s="10"/>
      <x:c r="J21" s="13" t="str">
        <x:v>新增</x:v>
      </x:c>
      <x:c r="K21" s="6" t="str">
        <x:v>屋顶的消耗件：老化后必须换，是住所修缮的主要输入。</x:v>
      </x:c>
      <x:c r="L21" s="10" t="n">
        <x:f aca="0">COUNTIF(建筑配方!$M$4:$M$118,B21)+COUNTIF(建筑配方!$N$4:$N$118,B21)</x:f>
        <x:v>1</x:v>
      </x:c>
      <x:c r="M21" s="10" t="n">
        <x:f aca="0">SUMPRODUCT(--(建筑配方!$G$4:$L$118=B21))</x:f>
        <x:v>2</x:v>
      </x:c>
      <x:c r="N21" s="10" t="str">
        <x:f aca="0">IF(AND(D21&lt;&gt;"原料",D21&lt;&gt;"燃料能源",L21=0),"⚠ 无来源",IF(AND(D21="日常用品",OR(F21="",H21="")),"⚠ 缺作用维度或问题来源",IF(OR(D21="大件",D21="日常用品",D21="服务品",D21="基础设施",D21="副产",D21="燃料能源",D21="金融品"),"OK",IF(M21=0,"⚠ 无去向","OK"))))</x:f>
        <x:v>OK</x:v>
      </x:c>
    </x:row>
    <x:row r="22" ht="15" hidden="0">
      <x:c r="A22" s="10" t="str">
        <x:v>I020</x:v>
      </x:c>
      <x:c r="B22" s="6" t="str">
        <x:v>铁锭</x:v>
      </x:c>
      <x:c r="C22" s="11" t="str">
        <x:v>中世纪</x:v>
      </x:c>
      <x:c r="D22" s="68" t="str">
        <x:v>初级材料</x:v>
      </x:c>
      <x:c r="E22" s="6" t="str">
        <x:v>金属</x:v>
      </x:c>
      <x:c r="F22" s="6"/>
      <x:c r="G22" s="6"/>
      <x:c r="H22" s="6"/>
      <x:c r="I22" s="10"/>
      <x:c r="J22" s="13" t="str">
        <x:v>新增</x:v>
      </x:c>
      <x:c r="K22" s="6"/>
      <x:c r="L22" s="10" t="n">
        <x:f aca="0">COUNTIF(建筑配方!$M$4:$M$118,B22)+COUNTIF(建筑配方!$N$4:$N$118,B22)</x:f>
        <x:v>1</x:v>
      </x:c>
      <x:c r="M22" s="10" t="n">
        <x:f aca="0">SUMPRODUCT(--(建筑配方!$G$4:$L$118=B22))</x:f>
        <x:v>3</x:v>
      </x:c>
      <x:c r="N22" s="10" t="str">
        <x:f aca="0">IF(AND(D22&lt;&gt;"原料",D22&lt;&gt;"燃料能源",L22=0),"⚠ 无来源",IF(AND(D22="日常用品",OR(F22="",H22="")),"⚠ 缺作用维度或问题来源",IF(OR(D22="大件",D22="日常用品",D22="服务品",D22="基础设施",D22="副产",D22="燃料能源",D22="金融品"),"OK",IF(M22=0,"⚠ 无去向","OK"))))</x:f>
        <x:v>OK</x:v>
      </x:c>
    </x:row>
    <x:row r="23" ht="15" hidden="0">
      <x:c r="A23" s="10" t="str">
        <x:v>I021</x:v>
      </x:c>
      <x:c r="B23" s="6" t="str">
        <x:v>铜锭</x:v>
      </x:c>
      <x:c r="C23" s="11" t="str">
        <x:v>中世纪</x:v>
      </x:c>
      <x:c r="D23" s="68" t="str">
        <x:v>初级材料</x:v>
      </x:c>
      <x:c r="E23" s="6" t="str">
        <x:v>金属</x:v>
      </x:c>
      <x:c r="F23" s="6"/>
      <x:c r="G23" s="6"/>
      <x:c r="H23" s="6"/>
      <x:c r="I23" s="10"/>
      <x:c r="J23" s="13" t="str">
        <x:v>新增</x:v>
      </x:c>
      <x:c r="K23" s="6"/>
      <x:c r="L23" s="10" t="n">
        <x:f aca="0">COUNTIF(建筑配方!$M$4:$M$118,B23)+COUNTIF(建筑配方!$N$4:$N$118,B23)</x:f>
        <x:v>1</x:v>
      </x:c>
      <x:c r="M23" s="10" t="n">
        <x:f aca="0">SUMPRODUCT(--(建筑配方!$G$4:$L$118=B23))</x:f>
        <x:v>3</x:v>
      </x:c>
      <x:c r="N23" s="10" t="str">
        <x:f aca="0">IF(AND(D23&lt;&gt;"原料",D23&lt;&gt;"燃料能源",L23=0),"⚠ 无来源",IF(AND(D23="日常用品",OR(F23="",H23="")),"⚠ 缺作用维度或问题来源",IF(OR(D23="大件",D23="日常用品",D23="服务品",D23="基础设施",D23="副产",D23="燃料能源",D23="金融品"),"OK",IF(M23=0,"⚠ 无去向","OK"))))</x:f>
        <x:v>OK</x:v>
      </x:c>
    </x:row>
    <x:row r="24" ht="15" hidden="0">
      <x:c r="A24" s="10" t="str">
        <x:v>I022</x:v>
      </x:c>
      <x:c r="B24" s="6" t="str">
        <x:v>布</x:v>
      </x:c>
      <x:c r="C24" s="11" t="str">
        <x:v>中世纪</x:v>
      </x:c>
      <x:c r="D24" s="68" t="str">
        <x:v>初级材料</x:v>
      </x:c>
      <x:c r="E24" s="6" t="str">
        <x:v>纺织</x:v>
      </x:c>
      <x:c r="F24" s="6"/>
      <x:c r="G24" s="6"/>
      <x:c r="H24" s="6"/>
      <x:c r="I24" s="10"/>
      <x:c r="J24" s="13" t="str">
        <x:v>新增</x:v>
      </x:c>
      <x:c r="K24" s="6" t="str">
        <x:v>向下：衣物、寝具、劳保用品、安全装备、内饰、医疗用品。</x:v>
      </x:c>
      <x:c r="L24" s="10" t="n">
        <x:f aca="0">COUNTIF(建筑配方!$M$4:$M$118,B24)+COUNTIF(建筑配方!$N$4:$N$118,B24)</x:f>
        <x:v>2</x:v>
      </x:c>
      <x:c r="M24" s="10" t="n">
        <x:f aca="0">SUMPRODUCT(--(建筑配方!$G$4:$L$118=B24))</x:f>
        <x:v>7</x:v>
      </x:c>
      <x:c r="N24" s="10" t="str">
        <x:f aca="0">IF(AND(D24&lt;&gt;"原料",D24&lt;&gt;"燃料能源",L24=0),"⚠ 无来源",IF(AND(D24="日常用品",OR(F24="",H24="")),"⚠ 缺作用维度或问题来源",IF(OR(D24="大件",D24="日常用品",D24="服务品",D24="基础设施",D24="副产",D24="燃料能源",D24="金融品"),"OK",IF(M24=0,"⚠ 无去向","OK"))))</x:f>
        <x:v>OK</x:v>
      </x:c>
    </x:row>
    <x:row r="25" ht="15" hidden="0">
      <x:c r="A25" s="10" t="str">
        <x:v>I024</x:v>
      </x:c>
      <x:c r="B25" s="6" t="str">
        <x:v>钢材</x:v>
      </x:c>
      <x:c r="C25" s="11" t="str">
        <x:v>工业化</x:v>
      </x:c>
      <x:c r="D25" s="68" t="str">
        <x:v>初级材料</x:v>
      </x:c>
      <x:c r="E25" s="6" t="str">
        <x:v>金属</x:v>
      </x:c>
      <x:c r="F25" s="6"/>
      <x:c r="G25" s="6"/>
      <x:c r="H25" s="6"/>
      <x:c r="I25" s="10"/>
      <x:c r="J25" s="13" t="str">
        <x:v>新增</x:v>
      </x:c>
      <x:c r="K25" s="6" t="str">
        <x:v>冶炼铁矿直接得到钢材；向机械零件、管材、金属外壳、结构件等多个产业供给。</x:v>
      </x:c>
      <x:c r="L25" s="10" t="n">
        <x:f aca="0">COUNTIF(建筑配方!$M$4:$M$118,B25)+COUNTIF(建筑配方!$N$4:$N$118,B25)</x:f>
        <x:v>1</x:v>
      </x:c>
      <x:c r="M25" s="10" t="n">
        <x:f aca="0">SUMPRODUCT(--(建筑配方!$G$4:$L$118=B25))</x:f>
        <x:v>11</x:v>
      </x:c>
      <x:c r="N25" s="10" t="str">
        <x:f aca="0">IF(AND(D25&lt;&gt;"原料",D25&lt;&gt;"燃料能源",L25=0),"⚠ 无来源",IF(AND(D25="日常用品",OR(F25="",H25="")),"⚠ 缺作用维度或问题来源",IF(OR(D25="大件",D25="日常用品",D25="服务品",D25="基础设施",D25="副产",D25="燃料能源",D25="金融品"),"OK",IF(M25=0,"⚠ 无去向","OK"))))</x:f>
        <x:v>OK</x:v>
      </x:c>
    </x:row>
    <x:row r="26" ht="15" hidden="0">
      <x:c r="A26" s="10" t="str">
        <x:v>I025</x:v>
      </x:c>
      <x:c r="B26" s="6" t="str">
        <x:v>铜线</x:v>
      </x:c>
      <x:c r="C26" s="14" t="str">
        <x:v>工业化</x:v>
      </x:c>
      <x:c r="D26" s="68" t="str">
        <x:v>初级材料</x:v>
      </x:c>
      <x:c r="E26" s="6" t="str">
        <x:v>金属</x:v>
      </x:c>
      <x:c r="F26" s="6"/>
      <x:c r="G26" s="6"/>
      <x:c r="H26" s="6"/>
      <x:c r="I26" s="10"/>
      <x:c r="J26" s="13" t="str">
        <x:v>新增</x:v>
      </x:c>
      <x:c r="K26" s="6" t="str">
        <x:v>兼作铜线与绝缘电线；供电机、电子、建筑水电系统、车辆电气使用，不再独立生产电线。</x:v>
      </x:c>
      <x:c r="L26" s="10" t="n">
        <x:f aca="0">COUNTIF(建筑配方!$M$4:$M$118,B26)+COUNTIF(建筑配方!$N$4:$N$118,B26)</x:f>
        <x:v>1</x:v>
      </x:c>
      <x:c r="M26" s="10" t="n">
        <x:f aca="0">SUMPRODUCT(--(建筑配方!$G$4:$L$118=B26))</x:f>
        <x:v>8</x:v>
      </x:c>
      <x:c r="N26" s="10" t="str">
        <x:f aca="0">IF(AND(D26&lt;&gt;"原料",D26&lt;&gt;"燃料能源",L26=0),"⚠ 无来源",IF(AND(D26="日常用品",OR(F26="",H26="")),"⚠ 缺作用维度或问题来源",IF(OR(D26="大件",D26="日常用品",D26="服务品",D26="基础设施",D26="副产",D26="燃料能源",D26="金融品"),"OK",IF(M26=0,"⚠ 无去向","OK"))))</x:f>
        <x:v>OK</x:v>
      </x:c>
    </x:row>
    <x:row r="27" ht="29.850000381469727" hidden="0">
      <x:c r="A27" s="10" t="str">
        <x:v>I026</x:v>
      </x:c>
      <x:c r="B27" s="6" t="str">
        <x:v>玻璃</x:v>
      </x:c>
      <x:c r="C27" s="14" t="str">
        <x:v>工业化</x:v>
      </x:c>
      <x:c r="D27" s="68" t="str">
        <x:v>初级材料</x:v>
      </x:c>
      <x:c r="E27" s="6" t="str">
        <x:v>建材</x:v>
      </x:c>
      <x:c r="F27" s="6"/>
      <x:c r="G27" s="6"/>
      <x:c r="H27" s="6"/>
      <x:c r="I27" s="10"/>
      <x:c r="J27" s="13" t="str">
        <x:v>新增</x:v>
      </x:c>
      <x:c r="K27" s="6" t="str">
        <x:v>向下：门窗、灯泡、显示屏、电气配件；不再单独制造车身。</x:v>
      </x:c>
      <x:c r="L27" s="10" t="n">
        <x:f aca="0">COUNTIF(建筑配方!$M$4:$M$118,B27)+COUNTIF(建筑配方!$N$4:$N$118,B27)</x:f>
        <x:v>1</x:v>
      </x:c>
      <x:c r="M27" s="10" t="n">
        <x:f aca="0">SUMPRODUCT(--(建筑配方!$G$4:$L$118=B27))</x:f>
        <x:v>4</x:v>
      </x:c>
      <x:c r="N27" s="10" t="str">
        <x:f aca="0">IF(AND(D27&lt;&gt;"原料",D27&lt;&gt;"燃料能源",L27=0),"⚠ 无来源",IF(AND(D27="日常用品",OR(F27="",H27="")),"⚠ 缺作用维度或问题来源",IF(OR(D27="大件",D27="日常用品",D27="服务品",D27="基础设施",D27="副产",D27="燃料能源",D27="金融品"),"OK",IF(M27=0,"⚠ 无去向","OK"))))</x:f>
        <x:v>OK</x:v>
      </x:c>
    </x:row>
    <x:row r="28" ht="15" hidden="0">
      <x:c r="A28" s="10" t="str">
        <x:v>I027</x:v>
      </x:c>
      <x:c r="B28" s="6" t="str">
        <x:v>水泥</x:v>
      </x:c>
      <x:c r="C28" s="14" t="str">
        <x:v>工业化</x:v>
      </x:c>
      <x:c r="D28" s="68" t="str">
        <x:v>初级材料</x:v>
      </x:c>
      <x:c r="E28" s="6" t="str">
        <x:v>建材</x:v>
      </x:c>
      <x:c r="F28" s="6"/>
      <x:c r="G28" s="6"/>
      <x:c r="H28" s="6"/>
      <x:c r="I28" s="10"/>
      <x:c r="J28" s="13" t="str">
        <x:v>新增</x:v>
      </x:c>
      <x:c r="K28" s="6"/>
      <x:c r="L28" s="10" t="n">
        <x:f aca="0">COUNTIF(建筑配方!$M$4:$M$118,B28)+COUNTIF(建筑配方!$N$4:$N$118,B28)</x:f>
        <x:v>1</x:v>
      </x:c>
      <x:c r="M28" s="10" t="n">
        <x:f aca="0">SUMPRODUCT(--(建筑配方!$G$4:$L$118=B28))</x:f>
        <x:v>2</x:v>
      </x:c>
      <x:c r="N28" s="10" t="str">
        <x:f aca="0">IF(AND(D28&lt;&gt;"原料",D28&lt;&gt;"燃料能源",L28=0),"⚠ 无来源",IF(AND(D28="日常用品",OR(F28="",H28="")),"⚠ 缺作用维度或问题来源",IF(OR(D28="大件",D28="日常用品",D28="服务品",D28="基础设施",D28="副产",D28="燃料能源",D28="金融品"),"OK",IF(M28=0,"⚠ 无去向","OK"))))</x:f>
        <x:v>OK</x:v>
      </x:c>
    </x:row>
    <x:row r="29" ht="15" hidden="0">
      <x:c r="A29" s="10" t="str">
        <x:v>I028</x:v>
      </x:c>
      <x:c r="B29" s="6" t="str">
        <x:v>基础化学品</x:v>
      </x:c>
      <x:c r="C29" s="14" t="str">
        <x:v>工业化</x:v>
      </x:c>
      <x:c r="D29" s="68" t="str">
        <x:v>初级材料</x:v>
      </x:c>
      <x:c r="E29" s="6" t="str">
        <x:v>化工</x:v>
      </x:c>
      <x:c r="F29" s="6"/>
      <x:c r="G29" s="6"/>
      <x:c r="H29" s="6"/>
      <x:c r="I29" s="10"/>
      <x:c r="J29" s="13" t="str">
        <x:v>新增</x:v>
      </x:c>
      <x:c r="K29" s="6" t="str">
        <x:v>一个中间品分出多个维度的功效：整洁（清洁用品/清洁用品）、健康（医疗用品/医疗用品）、耐久（涂料/润滑油）、制冷、电池、化肥、污水处理。</x:v>
      </x:c>
      <x:c r="L29" s="10" t="n">
        <x:f aca="0">COUNTIF(建筑配方!$M$4:$M$118,B29)+COUNTIF(建筑配方!$N$4:$N$118,B29)</x:f>
        <x:v>2</x:v>
      </x:c>
      <x:c r="M29" s="10" t="n">
        <x:f aca="0">SUMPRODUCT(--(建筑配方!$G$4:$L$118=B29))</x:f>
        <x:v>10</x:v>
      </x:c>
      <x:c r="N29" s="10" t="str">
        <x:f aca="0">IF(AND(D29&lt;&gt;"原料",D29&lt;&gt;"燃料能源",L29=0),"⚠ 无来源",IF(AND(D29="日常用品",OR(F29="",H29="")),"⚠ 缺作用维度或问题来源",IF(OR(D29="大件",D29="日常用品",D29="服务品",D29="基础设施",D29="副产",D29="燃料能源",D29="金融品"),"OK",IF(M29=0,"⚠ 无去向","OK"))))</x:f>
        <x:v>OK</x:v>
      </x:c>
    </x:row>
    <x:row r="30" ht="15" hidden="0">
      <x:c r="A30" s="10" t="str">
        <x:v>I029</x:v>
      </x:c>
      <x:c r="B30" s="6" t="str">
        <x:v>化肥</x:v>
      </x:c>
      <x:c r="C30" s="14" t="str">
        <x:v>工业化</x:v>
      </x:c>
      <x:c r="D30" s="68" t="str">
        <x:v>初级材料</x:v>
      </x:c>
      <x:c r="E30" s="6" t="str">
        <x:v>化工</x:v>
      </x:c>
      <x:c r="F30" s="6"/>
      <x:c r="G30" s="6"/>
      <x:c r="H30" s="6"/>
      <x:c r="I30" s="10"/>
      <x:c r="J30" s="13" t="str">
        <x:v>新增</x:v>
      </x:c>
      <x:c r="K30" s="6" t="str">
        <x:v>工业回头放大农业产出。</x:v>
      </x:c>
      <x:c r="L30" s="10" t="n">
        <x:f aca="0">COUNTIF(建筑配方!$M$4:$M$118,B30)+COUNTIF(建筑配方!$N$4:$N$118,B30)</x:f>
        <x:v>1</x:v>
      </x:c>
      <x:c r="M30" s="10" t="n">
        <x:f aca="0">SUMPRODUCT(--(建筑配方!$G$4:$L$118=B30))</x:f>
        <x:v>1</x:v>
      </x:c>
      <x:c r="N30" s="10" t="str">
        <x:f aca="0">IF(AND(D30&lt;&gt;"原料",D30&lt;&gt;"燃料能源",L30=0),"⚠ 无来源",IF(AND(D30="日常用品",OR(F30="",H30="")),"⚠ 缺作用维度或问题来源",IF(OR(D30="大件",D30="日常用品",D30="服务品",D30="基础设施",D30="副产",D30="燃料能源",D30="金融品"),"OK",IF(M30=0,"⚠ 无去向","OK"))))</x:f>
        <x:v>OK</x:v>
      </x:c>
    </x:row>
    <x:row r="31" ht="44" hidden="0">
      <x:c r="A31" s="10" t="str">
        <x:v>I030</x:v>
      </x:c>
      <x:c r="B31" s="6" t="str">
        <x:v>涂料</x:v>
      </x:c>
      <x:c r="C31" s="14" t="str">
        <x:v>工业化</x:v>
      </x:c>
      <x:c r="D31" s="68" t="str">
        <x:v>初级材料</x:v>
      </x:c>
      <x:c r="E31" s="6" t="str">
        <x:v>化工</x:v>
      </x:c>
      <x:c r="F31" s="6"/>
      <x:c r="G31" s="6"/>
      <x:c r="H31" s="6"/>
      <x:c r="I31" s="10"/>
      <x:c r="J31" s="13" t="str">
        <x:v>新增</x:v>
      </x:c>
      <x:c r="K31" s="6" t="str">
        <x:v>防水/防锈：外壳、金属外壳、住宅都要涂，老化后修缮也要涂。</x:v>
      </x:c>
      <x:c r="L31" s="10" t="n">
        <x:f aca="0">COUNTIF(建筑配方!$M$4:$M$118,B31)+COUNTIF(建筑配方!$N$4:$N$118,B31)</x:f>
        <x:v>1</x:v>
      </x:c>
      <x:c r="M31" s="10" t="n">
        <x:f aca="0">SUMPRODUCT(--(建筑配方!$G$4:$L$118=B31))</x:f>
        <x:v>4</x:v>
      </x:c>
      <x:c r="N31" s="10" t="str">
        <x:f aca="0">IF(AND(D31&lt;&gt;"原料",D31&lt;&gt;"燃料能源",L31=0),"⚠ 无来源",IF(AND(D31="日常用品",OR(F31="",H31="")),"⚠ 缺作用维度或问题来源",IF(OR(D31="大件",D31="日常用品",D31="服务品",D31="基础设施",D31="副产",D31="燃料能源",D31="金融品"),"OK",IF(M31=0,"⚠ 无去向","OK"))))</x:f>
        <x:v>OK</x:v>
      </x:c>
    </x:row>
    <x:row r="32" ht="15" hidden="0">
      <x:c r="A32" s="10" t="str">
        <x:v>I031</x:v>
      </x:c>
      <x:c r="B32" s="6" t="str">
        <x:v>混凝土</x:v>
      </x:c>
      <x:c r="C32" s="14" t="str">
        <x:v>现代</x:v>
      </x:c>
      <x:c r="D32" s="68" t="str">
        <x:v>初级材料</x:v>
      </x:c>
      <x:c r="E32" s="6" t="str">
        <x:v>建材</x:v>
      </x:c>
      <x:c r="F32" s="6"/>
      <x:c r="G32" s="6"/>
      <x:c r="H32" s="6"/>
      <x:c r="I32" s="10"/>
      <x:c r="J32" s="13" t="str">
        <x:v>新增</x:v>
      </x:c>
      <x:c r="K32" s="6"/>
      <x:c r="L32" s="10" t="n">
        <x:f aca="0">COUNTIF(建筑配方!$M$4:$M$118,B32)+COUNTIF(建筑配方!$N$4:$N$118,B32)</x:f>
        <x:v>1</x:v>
      </x:c>
      <x:c r="M32" s="10" t="n">
        <x:f aca="0">SUMPRODUCT(--(建筑配方!$G$4:$L$118=B32))</x:f>
        <x:v>1</x:v>
      </x:c>
      <x:c r="N32" s="10" t="str">
        <x:f aca="0">IF(AND(D32&lt;&gt;"原料",D32&lt;&gt;"燃料能源",L32=0),"⚠ 无来源",IF(AND(D32="日常用品",OR(F32="",H32="")),"⚠ 缺作用维度或问题来源",IF(OR(D32="大件",D32="日常用品",D32="服务品",D32="基础设施",D32="副产",D32="燃料能源",D32="金融品"),"OK",IF(M32=0,"⚠ 无去向","OK"))))</x:f>
        <x:v>OK</x:v>
      </x:c>
    </x:row>
    <x:row r="33" ht="29.850000381469727" hidden="0">
      <x:c r="A33" s="10" t="str">
        <x:v>I032</x:v>
      </x:c>
      <x:c r="B33" s="6" t="str">
        <x:v>石油气</x:v>
      </x:c>
      <x:c r="C33" s="14" t="str">
        <x:v>现代</x:v>
      </x:c>
      <x:c r="D33" s="68" t="str">
        <x:v>初级材料</x:v>
      </x:c>
      <x:c r="E33" s="6" t="str">
        <x:v>石油</x:v>
      </x:c>
      <x:c r="F33" s="6"/>
      <x:c r="G33" s="6"/>
      <x:c r="H33" s="6"/>
      <x:c r="I33" s="10"/>
      <x:c r="J33" s="13" t="str">
        <x:v>新增</x:v>
      </x:c>
      <x:c r="K33" s="6" t="str">
        <x:v>炼油厂的副产，必须有出路（化工、塑料、橡胶、制冷剂）。</x:v>
      </x:c>
      <x:c r="L33" s="10" t="n">
        <x:f aca="0">COUNTIF(建筑配方!$M$4:$M$118,B33)+COUNTIF(建筑配方!$N$4:$N$118,B33)</x:f>
        <x:v>1</x:v>
      </x:c>
      <x:c r="M33" s="10" t="n">
        <x:f aca="0">SUMPRODUCT(--(建筑配方!$G$4:$L$118=B33))</x:f>
        <x:v>4</x:v>
      </x:c>
      <x:c r="N33" s="10" t="str">
        <x:f aca="0">IF(AND(D33&lt;&gt;"原料",D33&lt;&gt;"燃料能源",L33=0),"⚠ 无来源",IF(AND(D33="日常用品",OR(F33="",H33="")),"⚠ 缺作用维度或问题来源",IF(OR(D33="大件",D33="日常用品",D33="服务品",D33="基础设施",D33="副产",D33="燃料能源",D33="金融品"),"OK",IF(M33=0,"⚠ 无去向","OK"))))</x:f>
        <x:v>OK</x:v>
      </x:c>
    </x:row>
    <x:row r="34" ht="15" hidden="0">
      <x:c r="A34" s="10" t="str">
        <x:v>I033</x:v>
      </x:c>
      <x:c r="B34" s="6" t="str">
        <x:v>沥青</x:v>
      </x:c>
      <x:c r="C34" s="15" t="str">
        <x:v>现代</x:v>
      </x:c>
      <x:c r="D34" s="68" t="str">
        <x:v>初级材料</x:v>
      </x:c>
      <x:c r="E34" s="6" t="str">
        <x:v>石油</x:v>
      </x:c>
      <x:c r="F34" s="6"/>
      <x:c r="G34" s="6"/>
      <x:c r="H34" s="6"/>
      <x:c r="I34" s="10"/>
      <x:c r="J34" s="13" t="str">
        <x:v>新增</x:v>
      </x:c>
      <x:c r="K34" s="6" t="str">
        <x:v>炼油厂的另一条产出，唯一用途是修路。</x:v>
      </x:c>
      <x:c r="L34" s="10" t="n">
        <x:f aca="0">COUNTIF(建筑配方!$M$4:$M$118,B34)+COUNTIF(建筑配方!$N$4:$N$118,B34)</x:f>
        <x:v>1</x:v>
      </x:c>
      <x:c r="M34" s="10" t="n">
        <x:f aca="0">SUMPRODUCT(--(建筑配方!$G$4:$L$118=B34))</x:f>
        <x:v>1</x:v>
      </x:c>
      <x:c r="N34" s="10" t="str">
        <x:f aca="0">IF(AND(D34&lt;&gt;"原料",D34&lt;&gt;"燃料能源",L34=0),"⚠ 无来源",IF(AND(D34="日常用品",OR(F34="",H34="")),"⚠ 缺作用维度或问题来源",IF(OR(D34="大件",D34="日常用品",D34="服务品",D34="基础设施",D34="副产",D34="燃料能源",D34="金融品"),"OK",IF(M34=0,"⚠ 无去向","OK"))))</x:f>
        <x:v>OK</x:v>
      </x:c>
    </x:row>
    <x:row r="35" ht="29.850000381469727" hidden="0">
      <x:c r="A35" s="10" t="str">
        <x:v>I034</x:v>
      </x:c>
      <x:c r="B35" s="6" t="str">
        <x:v>塑料</x:v>
      </x:c>
      <x:c r="C35" s="15" t="str">
        <x:v>现代</x:v>
      </x:c>
      <x:c r="D35" s="68" t="str">
        <x:v>初级材料</x:v>
      </x:c>
      <x:c r="E35" s="6" t="str">
        <x:v>化工</x:v>
      </x:c>
      <x:c r="F35" s="6"/>
      <x:c r="G35" s="6"/>
      <x:c r="H35" s="6"/>
      <x:c r="I35" s="10"/>
      <x:c r="J35" s="13" t="str">
        <x:v>新增</x:v>
      </x:c>
      <x:c r="K35" s="6" t="str">
        <x:v>向下：食品盒、劳保用品、安全装备、电路板、保温层、管材、包装、电视机。</x:v>
      </x:c>
      <x:c r="L35" s="10" t="n">
        <x:f aca="0">COUNTIF(建筑配方!$M$4:$M$118,B35)+COUNTIF(建筑配方!$N$4:$N$118,B35)</x:f>
        <x:v>1</x:v>
      </x:c>
      <x:c r="M35" s="10" t="n">
        <x:f aca="0">SUMPRODUCT(--(建筑配方!$G$4:$L$118=B35))</x:f>
        <x:v>11</x:v>
      </x:c>
      <x:c r="N35" s="10" t="str">
        <x:f aca="0">IF(AND(D35&lt;&gt;"原料",D35&lt;&gt;"燃料能源",L35=0),"⚠ 无来源",IF(AND(D35="日常用品",OR(F35="",H35="")),"⚠ 缺作用维度或问题来源",IF(OR(D35="大件",D35="日常用品",D35="服务品",D35="基础设施",D35="副产",D35="燃料能源",D35="金融品"),"OK",IF(M35=0,"⚠ 无去向","OK"))))</x:f>
        <x:v>OK</x:v>
      </x:c>
    </x:row>
    <x:row r="36" ht="15" hidden="0">
      <x:c r="A36" s="10" t="str">
        <x:v>I035</x:v>
      </x:c>
      <x:c r="B36" s="6" t="str">
        <x:v>合成橡胶</x:v>
      </x:c>
      <x:c r="C36" s="15" t="str">
        <x:v>现代</x:v>
      </x:c>
      <x:c r="D36" s="68" t="str">
        <x:v>初级材料</x:v>
      </x:c>
      <x:c r="E36" s="6" t="str">
        <x:v>化工</x:v>
      </x:c>
      <x:c r="F36" s="6"/>
      <x:c r="G36" s="6"/>
      <x:c r="H36" s="6"/>
      <x:c r="I36" s="10"/>
      <x:c r="J36" s="13" t="str">
        <x:v>新增</x:v>
      </x:c>
      <x:c r="K36" s="6" t="str">
        <x:v>向下：轮胎、安全装备、劳保用品。</x:v>
      </x:c>
      <x:c r="L36" s="10" t="n">
        <x:f aca="0">COUNTIF(建筑配方!$M$4:$M$118,B36)+COUNTIF(建筑配方!$N$4:$N$118,B36)</x:f>
        <x:v>1</x:v>
      </x:c>
      <x:c r="M36" s="10" t="n">
        <x:f aca="0">SUMPRODUCT(--(建筑配方!$G$4:$L$118=B36))</x:f>
        <x:v>3</x:v>
      </x:c>
      <x:c r="N36" s="10" t="str">
        <x:f aca="0">IF(AND(D36&lt;&gt;"原料",D36&lt;&gt;"燃料能源",L36=0),"⚠ 无来源",IF(AND(D36="日常用品",OR(F36="",H36="")),"⚠ 缺作用维度或问题来源",IF(OR(D36="大件",D36="日常用品",D36="服务品",D36="基础设施",D36="副产",D36="燃料能源",D36="金融品"),"OK",IF(M36=0,"⚠ 无去向","OK"))))</x:f>
        <x:v>OK</x:v>
      </x:c>
    </x:row>
    <x:row r="37" ht="29.850000381469727" hidden="0">
      <x:c r="A37" s="10" t="str">
        <x:v>I036</x:v>
      </x:c>
      <x:c r="B37" s="6" t="str">
        <x:v>铝材</x:v>
      </x:c>
      <x:c r="C37" s="15" t="str">
        <x:v>现代</x:v>
      </x:c>
      <x:c r="D37" s="68" t="str">
        <x:v>初级材料</x:v>
      </x:c>
      <x:c r="E37" s="6" t="str">
        <x:v>金属</x:v>
      </x:c>
      <x:c r="F37" s="6"/>
      <x:c r="G37" s="6"/>
      <x:c r="H37" s="6"/>
      <x:c r="I37" s="10"/>
      <x:c r="J37" s="13" t="str">
        <x:v>新增</x:v>
      </x:c>
      <x:c r="K37" s="6"/>
      <x:c r="L37" s="10" t="n">
        <x:f aca="0">COUNTIF(建筑配方!$M$4:$M$118,B37)+COUNTIF(建筑配方!$N$4:$N$118,B37)</x:f>
        <x:v>1</x:v>
      </x:c>
      <x:c r="M37" s="10" t="n">
        <x:f aca="0">SUMPRODUCT(--(建筑配方!$G$4:$L$118=B37))</x:f>
        <x:v>2</x:v>
      </x:c>
      <x:c r="N37" s="10" t="str">
        <x:f aca="0">IF(AND(D37&lt;&gt;"原料",D37&lt;&gt;"燃料能源",L37=0),"⚠ 无来源",IF(AND(D37="日常用品",OR(F37="",H37="")),"⚠ 缺作用维度或问题来源",IF(OR(D37="大件",D37="日常用品",D37="服务品",D37="基础设施",D37="副产",D37="燃料能源",D37="金融品"),"OK",IF(M37=0,"⚠ 无去向","OK"))))</x:f>
        <x:v>OK</x:v>
      </x:c>
    </x:row>
    <x:row r="38" ht="15" hidden="0">
      <x:c r="A38" s="10" t="str">
        <x:v>I038</x:v>
      </x:c>
      <x:c r="B38" s="6" t="str">
        <x:v>紧固件</x:v>
      </x:c>
      <x:c r="C38" s="15" t="str">
        <x:v>中世纪</x:v>
      </x:c>
      <x:c r="D38" s="70" t="str">
        <x:v>零部件</x:v>
      </x:c>
      <x:c r="E38" s="6" t="str">
        <x:v>金属件</x:v>
      </x:c>
      <x:c r="F38" s="6"/>
      <x:c r="G38" s="6"/>
      <x:c r="H38" s="6"/>
      <x:c r="I38" s="10"/>
      <x:c r="J38" s="13" t="str">
        <x:v>新增</x:v>
      </x:c>
      <x:c r="K38" s="6" t="str">
        <x:v>钉子、螺栓、纽扣：几乎所有组装件都要。</x:v>
      </x:c>
      <x:c r="L38" s="10" t="n">
        <x:f aca="0">COUNTIF(建筑配方!$M$4:$M$118,B38)+COUNTIF(建筑配方!$N$4:$N$118,B38)</x:f>
        <x:v>1</x:v>
      </x:c>
      <x:c r="M38" s="10" t="n">
        <x:f aca="0">SUMPRODUCT(--(建筑配方!$G$4:$L$118=B38))</x:f>
        <x:v>5</x:v>
      </x:c>
      <x:c r="N38" s="10" t="str">
        <x:f aca="0">IF(AND(D38&lt;&gt;"原料",D38&lt;&gt;"燃料能源",L38=0),"⚠ 无来源",IF(AND(D38="日常用品",OR(F38="",H38="")),"⚠ 缺作用维度或问题来源",IF(OR(D38="大件",D38="日常用品",D38="服务品",D38="基础设施",D38="副产",D38="燃料能源",D38="金融品"),"OK",IF(M38=0,"⚠ 无去向","OK"))))</x:f>
        <x:v>OK</x:v>
      </x:c>
    </x:row>
    <x:row r="39" ht="15" hidden="0">
      <x:c r="A39" s="10" t="str">
        <x:v>I039</x:v>
      </x:c>
      <x:c r="B39" s="6" t="str">
        <x:v>管材</x:v>
      </x:c>
      <x:c r="C39" s="15" t="str">
        <x:v>工业化</x:v>
      </x:c>
      <x:c r="D39" s="70" t="str">
        <x:v>零部件</x:v>
      </x:c>
      <x:c r="E39" s="6" t="str">
        <x:v>金属件</x:v>
      </x:c>
      <x:c r="F39" s="6"/>
      <x:c r="G39" s="6"/>
      <x:c r="H39" s="6"/>
      <x:c r="I39" s="10"/>
      <x:c r="J39" s="13" t="str">
        <x:v>新增</x:v>
      </x:c>
      <x:c r="K39" s="6" t="str">
        <x:v>合并钢管与给排水管；可由钢材轧制或由塑料加工，两条替代生产路线。</x:v>
      </x:c>
      <x:c r="L39" s="10" t="n">
        <x:f aca="0">COUNTIF(建筑配方!$M$4:$M$118,B39)+COUNTIF(建筑配方!$N$4:$N$118,B39)</x:f>
        <x:v>2</x:v>
      </x:c>
      <x:c r="M39" s="10" t="n">
        <x:f aca="0">SUMPRODUCT(--(建筑配方!$G$4:$L$118=B39))</x:f>
        <x:v>5</x:v>
      </x:c>
      <x:c r="N39" s="10" t="str">
        <x:f aca="0">IF(AND(D39&lt;&gt;"原料",D39&lt;&gt;"燃料能源",L39=0),"⚠ 无来源",IF(AND(D39="日常用品",OR(F39="",H39="")),"⚠ 缺作用维度或问题来源",IF(OR(D39="大件",D39="日常用品",D39="服务品",D39="基础设施",D39="副产",D39="燃料能源",D39="金融品"),"OK",IF(M39=0,"⚠ 无去向","OK"))))</x:f>
        <x:v>OK</x:v>
      </x:c>
    </x:row>
    <x:row r="40" ht="15" hidden="0">
      <x:c r="A40" s="10" t="str">
        <x:v>I040</x:v>
      </x:c>
      <x:c r="B40" s="6" t="str">
        <x:v>机械零件</x:v>
      </x:c>
      <x:c r="C40" s="15" t="str">
        <x:v>工业化</x:v>
      </x:c>
      <x:c r="D40" s="70" t="str">
        <x:v>零部件</x:v>
      </x:c>
      <x:c r="E40" s="6" t="str">
        <x:v>机械件</x:v>
      </x:c>
      <x:c r="F40" s="6"/>
      <x:c r="G40" s="6"/>
      <x:c r="H40" s="6"/>
      <x:c r="I40" s="10"/>
      <x:c r="J40" s="13" t="str">
        <x:v>新增</x:v>
      </x:c>
      <x:c r="K40" s="6" t="str">
        <x:v>合并轴承与传动件，统一用于电机、工具、底盘、动力装置等。</x:v>
      </x:c>
      <x:c r="L40" s="10" t="n">
        <x:f aca="0">COUNTIF(建筑配方!$M$4:$M$118,B40)+COUNTIF(建筑配方!$N$4:$N$118,B40)</x:f>
        <x:v>1</x:v>
      </x:c>
      <x:c r="M40" s="10" t="n">
        <x:f aca="0">SUMPRODUCT(--(建筑配方!$G$4:$L$118=B40))</x:f>
        <x:v>4</x:v>
      </x:c>
      <x:c r="N40" s="10" t="str">
        <x:f aca="0">IF(AND(D40&lt;&gt;"原料",D40&lt;&gt;"燃料能源",L40=0),"⚠ 无来源",IF(AND(D40="日常用品",OR(F40="",H40="")),"⚠ 缺作用维度或问题来源",IF(OR(D40="大件",D40="日常用品",D40="服务品",D40="基础设施",D40="副产",D40="燃料能源",D40="金融品"),"OK",IF(M40=0,"⚠ 无去向","OK"))))</x:f>
        <x:v>OK</x:v>
      </x:c>
    </x:row>
    <x:row r="41" ht="15" hidden="0">
      <x:c r="A41" s="10" t="str">
        <x:v>I042</x:v>
      </x:c>
      <x:c r="B41" s="6" t="str">
        <x:v>电机</x:v>
      </x:c>
      <x:c r="C41" s="11" t="str">
        <x:v>工业化</x:v>
      </x:c>
      <x:c r="D41" s="70" t="str">
        <x:v>零部件</x:v>
      </x:c>
      <x:c r="E41" s="6" t="str">
        <x:v>机电件</x:v>
      </x:c>
      <x:c r="F41" s="6"/>
      <x:c r="G41" s="6"/>
      <x:c r="H41" s="6"/>
      <x:c r="I41" s="10"/>
      <x:c r="J41" s="13" t="str">
        <x:v>新增</x:v>
      </x:c>
      <x:c r="K41" s="6" t="str">
        <x:v>一个零件撑起多个大件：洗衣机、水泵、压缩机、电梯、电动工具。</x:v>
      </x:c>
      <x:c r="L41" s="10" t="n">
        <x:f aca="0">COUNTIF(建筑配方!$M$4:$M$118,B41)+COUNTIF(建筑配方!$N$4:$N$118,B41)</x:f>
        <x:v>1</x:v>
      </x:c>
      <x:c r="M41" s="10" t="n">
        <x:f aca="0">SUMPRODUCT(--(建筑配方!$G$4:$L$118=B41))</x:f>
        <x:v>6</x:v>
      </x:c>
      <x:c r="N41" s="10" t="str">
        <x:f aca="0">IF(AND(D41&lt;&gt;"原料",D41&lt;&gt;"燃料能源",L41=0),"⚠ 无来源",IF(AND(D41="日常用品",OR(F41="",H41="")),"⚠ 缺作用维度或问题来源",IF(OR(D41="大件",D41="日常用品",D41="服务品",D41="基础设施",D41="副产",D41="燃料能源",D41="金融品"),"OK",IF(M41=0,"⚠ 无去向","OK"))))</x:f>
        <x:v>OK</x:v>
      </x:c>
    </x:row>
    <x:row r="42" ht="15" hidden="0">
      <x:c r="A42" s="10" t="str">
        <x:v>I043</x:v>
      </x:c>
      <x:c r="B42" s="6" t="str">
        <x:v>压缩机</x:v>
      </x:c>
      <x:c r="C42" s="14" t="str">
        <x:v>现代</x:v>
      </x:c>
      <x:c r="D42" s="70" t="str">
        <x:v>零部件</x:v>
      </x:c>
      <x:c r="E42" s="6" t="str">
        <x:v>机电件</x:v>
      </x:c>
      <x:c r="F42" s="6"/>
      <x:c r="G42" s="6"/>
      <x:c r="H42" s="6"/>
      <x:c r="I42" s="10"/>
      <x:c r="J42" s="13" t="str">
        <x:v>新增</x:v>
      </x:c>
      <x:c r="K42" s="6" t="str">
        <x:v>冰箱的核心件，也是家电维修的备件。</x:v>
      </x:c>
      <x:c r="L42" s="10" t="n">
        <x:f aca="0">COUNTIF(建筑配方!$M$4:$M$118,B42)+COUNTIF(建筑配方!$N$4:$N$118,B42)</x:f>
        <x:v>1</x:v>
      </x:c>
      <x:c r="M42" s="10" t="n">
        <x:f aca="0">SUMPRODUCT(--(建筑配方!$G$4:$L$118=B42))</x:f>
        <x:v>2</x:v>
      </x:c>
      <x:c r="N42" s="10" t="str">
        <x:f aca="0">IF(AND(D42&lt;&gt;"原料",D42&lt;&gt;"燃料能源",L42=0),"⚠ 无来源",IF(AND(D42="日常用品",OR(F42="",H42="")),"⚠ 缺作用维度或问题来源",IF(OR(D42="大件",D42="日常用品",D42="服务品",D42="基础设施",D42="副产",D42="燃料能源",D42="金融品"),"OK",IF(M42=0,"⚠ 无去向","OK"))))</x:f>
        <x:v>OK</x:v>
      </x:c>
    </x:row>
    <x:row r="43" ht="15" hidden="0">
      <x:c r="A43" s="10" t="str">
        <x:v>I044</x:v>
      </x:c>
      <x:c r="B43" s="6" t="str">
        <x:v>滚筒</x:v>
      </x:c>
      <x:c r="C43" s="14" t="str">
        <x:v>现代</x:v>
      </x:c>
      <x:c r="D43" s="70" t="str">
        <x:v>零部件</x:v>
      </x:c>
      <x:c r="E43" s="6" t="str">
        <x:v>机械件</x:v>
      </x:c>
      <x:c r="F43" s="6"/>
      <x:c r="G43" s="6"/>
      <x:c r="H43" s="6"/>
      <x:c r="I43" s="10"/>
      <x:c r="J43" s="13" t="str">
        <x:v>新增</x:v>
      </x:c>
      <x:c r="K43" s="6" t="str">
        <x:v>洗衣机专用。</x:v>
      </x:c>
      <x:c r="L43" s="10" t="n">
        <x:f aca="0">COUNTIF(建筑配方!$M$4:$M$118,B43)+COUNTIF(建筑配方!$N$4:$N$118,B43)</x:f>
        <x:v>1</x:v>
      </x:c>
      <x:c r="M43" s="10" t="n">
        <x:f aca="0">SUMPRODUCT(--(建筑配方!$G$4:$L$118=B43))</x:f>
        <x:v>1</x:v>
      </x:c>
      <x:c r="N43" s="10" t="str">
        <x:f aca="0">IF(AND(D43&lt;&gt;"原料",D43&lt;&gt;"燃料能源",L43=0),"⚠ 无来源",IF(AND(D43="日常用品",OR(F43="",H43="")),"⚠ 缺作用维度或问题来源",IF(OR(D43="大件",D43="日常用品",D43="服务品",D43="基础设施",D43="副产",D43="燃料能源",D43="金融品"),"OK",IF(M43=0,"⚠ 无去向","OK"))))</x:f>
        <x:v>OK</x:v>
      </x:c>
    </x:row>
    <x:row r="44" ht="15" hidden="0">
      <x:c r="A44" s="10" t="str">
        <x:v>I045</x:v>
      </x:c>
      <x:c r="B44" s="6" t="str">
        <x:v>水泵</x:v>
      </x:c>
      <x:c r="C44" s="14" t="str">
        <x:v>现代</x:v>
      </x:c>
      <x:c r="D44" s="70" t="str">
        <x:v>零部件</x:v>
      </x:c>
      <x:c r="E44" s="6" t="str">
        <x:v>机电件</x:v>
      </x:c>
      <x:c r="F44" s="6"/>
      <x:c r="G44" s="6"/>
      <x:c r="H44" s="6"/>
      <x:c r="I44" s="10"/>
      <x:c r="J44" s="13" t="str">
        <x:v>新增</x:v>
      </x:c>
      <x:c r="K44" s="6" t="str">
        <x:v>洗衣机专用，也是备件。</x:v>
      </x:c>
      <x:c r="L44" s="10" t="n">
        <x:f aca="0">COUNTIF(建筑配方!$M$4:$M$118,B44)+COUNTIF(建筑配方!$N$4:$N$118,B44)</x:f>
        <x:v>1</x:v>
      </x:c>
      <x:c r="M44" s="10" t="n">
        <x:f aca="0">SUMPRODUCT(--(建筑配方!$G$4:$L$118=B44))</x:f>
        <x:v>2</x:v>
      </x:c>
      <x:c r="N44" s="10" t="str">
        <x:f aca="0">IF(AND(D44&lt;&gt;"原料",D44&lt;&gt;"燃料能源",L44=0),"⚠ 无来源",IF(AND(D44="日常用品",OR(F44="",H44="")),"⚠ 缺作用维度或问题来源",IF(OR(D44="大件",D44="日常用品",D44="服务品",D44="基础设施",D44="副产",D44="燃料能源",D44="金融品"),"OK",IF(M44=0,"⚠ 无去向","OK"))))</x:f>
        <x:v>OK</x:v>
      </x:c>
    </x:row>
    <x:row r="45" ht="29.850000381469727" hidden="0">
      <x:c r="A45" s="10" t="str">
        <x:v>I048</x:v>
      </x:c>
      <x:c r="B45" s="6" t="str">
        <x:v>轮胎</x:v>
      </x:c>
      <x:c r="C45" s="14" t="str">
        <x:v>现代</x:v>
      </x:c>
      <x:c r="D45" s="70" t="str">
        <x:v>零部件</x:v>
      </x:c>
      <x:c r="E45" s="6" t="str">
        <x:v>汽车件</x:v>
      </x:c>
      <x:c r="F45" s="6"/>
      <x:c r="G45" s="6"/>
      <x:c r="H45" s="6"/>
      <x:c r="I45" s="10"/>
      <x:c r="J45" s="13" t="str">
        <x:v>新增</x:v>
      </x:c>
      <x:c r="K45" s="6" t="str">
        <x:v>磨损件：既是底盘输入，也是汽车修理的备件。</x:v>
      </x:c>
      <x:c r="L45" s="10" t="n">
        <x:f aca="0">COUNTIF(建筑配方!$M$4:$M$118,B45)+COUNTIF(建筑配方!$N$4:$N$118,B45)</x:f>
        <x:v>1</x:v>
      </x:c>
      <x:c r="M45" s="10" t="n">
        <x:f aca="0">SUMPRODUCT(--(建筑配方!$G$4:$L$118=B45))</x:f>
        <x:v>2</x:v>
      </x:c>
      <x:c r="N45" s="10" t="str">
        <x:f aca="0">IF(AND(D45&lt;&gt;"原料",D45&lt;&gt;"燃料能源",L45=0),"⚠ 无来源",IF(AND(D45="日常用品",OR(F45="",H45="")),"⚠ 缺作用维度或问题来源",IF(OR(D45="大件",D45="日常用品",D45="服务品",D45="基础设施",D45="副产",D45="燃料能源",D45="金融品"),"OK",IF(M45=0,"⚠ 无去向","OK"))))</x:f>
        <x:v>OK</x:v>
      </x:c>
    </x:row>
    <x:row r="46" ht="15" hidden="0">
      <x:c r="A46" s="10" t="str">
        <x:v>I049</x:v>
      </x:c>
      <x:c r="B46" s="6" t="str">
        <x:v>蓄电池</x:v>
      </x:c>
      <x:c r="C46" s="15" t="str">
        <x:v>现代</x:v>
      </x:c>
      <x:c r="D46" s="70" t="str">
        <x:v>零部件</x:v>
      </x:c>
      <x:c r="E46" s="6" t="str">
        <x:v>汽车件</x:v>
      </x:c>
      <x:c r="F46" s="6"/>
      <x:c r="G46" s="6"/>
      <x:c r="H46" s="6"/>
      <x:c r="I46" s="10"/>
      <x:c r="J46" s="13" t="str">
        <x:v>新增</x:v>
      </x:c>
      <x:c r="K46" s="6" t="str">
        <x:v>磨损件：既是车载电气输入，也是汽车修理的备件。</x:v>
      </x:c>
      <x:c r="L46" s="10" t="n">
        <x:f aca="0">COUNTIF(建筑配方!$M$4:$M$118,B46)+COUNTIF(建筑配方!$N$4:$N$118,B46)</x:f>
        <x:v>1</x:v>
      </x:c>
      <x:c r="M46" s="10" t="n">
        <x:f aca="0">SUMPRODUCT(--(建筑配方!$G$4:$L$118=B46))</x:f>
        <x:v>2</x:v>
      </x:c>
      <x:c r="N46" s="10" t="str">
        <x:f aca="0">IF(AND(D46&lt;&gt;"原料",D46&lt;&gt;"燃料能源",L46=0),"⚠ 无来源",IF(AND(D46="日常用品",OR(F46="",H46="")),"⚠ 缺作用维度或问题来源",IF(OR(D46="大件",D46="日常用品",D46="服务品",D46="基础设施",D46="副产",D46="燃料能源",D46="金融品"),"OK",IF(M46=0,"⚠ 无去向","OK"))))</x:f>
        <x:v>OK</x:v>
      </x:c>
    </x:row>
    <x:row r="47" ht="15" hidden="0">
      <x:c r="A47" s="10" t="str">
        <x:v>I050</x:v>
      </x:c>
      <x:c r="B47" s="6" t="str">
        <x:v>芯片</x:v>
      </x:c>
      <x:c r="C47" s="15" t="str">
        <x:v>现代</x:v>
      </x:c>
      <x:c r="D47" s="70" t="str">
        <x:v>零部件</x:v>
      </x:c>
      <x:c r="E47" s="6" t="str">
        <x:v>电子件</x:v>
      </x:c>
      <x:c r="F47" s="6"/>
      <x:c r="G47" s="6"/>
      <x:c r="H47" s="6"/>
      <x:c r="I47" s="10"/>
      <x:c r="J47" s="13" t="str">
        <x:v>新增</x:v>
      </x:c>
      <x:c r="K47" s="6" t="str">
        <x:v>由硅砂和铜线直接制成，供电路板、显示屏使用。</x:v>
      </x:c>
      <x:c r="L47" s="10" t="n">
        <x:f aca="0">COUNTIF(建筑配方!$M$4:$M$118,B47)+COUNTIF(建筑配方!$N$4:$N$118,B47)</x:f>
        <x:v>1</x:v>
      </x:c>
      <x:c r="M47" s="10" t="n">
        <x:f aca="0">SUMPRODUCT(--(建筑配方!$G$4:$L$118=B47))</x:f>
        <x:v>2</x:v>
      </x:c>
      <x:c r="N47" s="10" t="str">
        <x:f aca="0">IF(AND(D47&lt;&gt;"原料",D47&lt;&gt;"燃料能源",L47=0),"⚠ 无来源",IF(AND(D47="日常用品",OR(F47="",H47="")),"⚠ 缺作用维度或问题来源",IF(OR(D47="大件",D47="日常用品",D47="服务品",D47="基础设施",D47="副产",D47="燃料能源",D47="金融品"),"OK",IF(M47=0,"⚠ 无去向","OK"))))</x:f>
        <x:v>OK</x:v>
      </x:c>
    </x:row>
    <x:row r="48" ht="15" hidden="0">
      <x:c r="A48" s="10" t="str">
        <x:v>I051</x:v>
      </x:c>
      <x:c r="B48" s="6" t="str">
        <x:v>电路板</x:v>
      </x:c>
      <x:c r="C48" s="15" t="str">
        <x:v>现代</x:v>
      </x:c>
      <x:c r="D48" s="70" t="str">
        <x:v>零部件</x:v>
      </x:c>
      <x:c r="E48" s="6" t="str">
        <x:v>电子件</x:v>
      </x:c>
      <x:c r="F48" s="6"/>
      <x:c r="G48" s="6"/>
      <x:c r="H48" s="6"/>
      <x:c r="I48" s="10"/>
      <x:c r="J48" s="13" t="str">
        <x:v>新增</x:v>
      </x:c>
      <x:c r="K48" s="6" t="str">
        <x:v>向下：车载电气、洗衣机、电视机、电梯；也是家电修理的备件。</x:v>
      </x:c>
      <x:c r="L48" s="10" t="n">
        <x:f aca="0">COUNTIF(建筑配方!$M$4:$M$118,B48)+COUNTIF(建筑配方!$N$4:$N$118,B48)</x:f>
        <x:v>1</x:v>
      </x:c>
      <x:c r="M48" s="10" t="n">
        <x:f aca="0">SUMPRODUCT(--(建筑配方!$G$4:$L$118=B48))</x:f>
        <x:v>6</x:v>
      </x:c>
      <x:c r="N48" s="10" t="str">
        <x:f aca="0">IF(AND(D48&lt;&gt;"原料",D48&lt;&gt;"燃料能源",L48=0),"⚠ 无来源",IF(AND(D48="日常用品",OR(F48="",H48="")),"⚠ 缺作用维度或问题来源",IF(OR(D48="大件",D48="日常用品",D48="服务品",D48="基础设施",D48="副产",D48="燃料能源",D48="金融品"),"OK",IF(M48=0,"⚠ 无去向","OK"))))</x:f>
        <x:v>OK</x:v>
      </x:c>
    </x:row>
    <x:row r="49" ht="15" hidden="0">
      <x:c r="A49" s="10" t="str">
        <x:v>I052</x:v>
      </x:c>
      <x:c r="B49" s="6" t="str">
        <x:v>显示屏</x:v>
      </x:c>
      <x:c r="C49" s="15" t="str">
        <x:v>现代</x:v>
      </x:c>
      <x:c r="D49" s="70" t="str">
        <x:v>零部件</x:v>
      </x:c>
      <x:c r="E49" s="6" t="str">
        <x:v>电子件</x:v>
      </x:c>
      <x:c r="F49" s="6"/>
      <x:c r="G49" s="6"/>
      <x:c r="H49" s="6"/>
      <x:c r="I49" s="10"/>
      <x:c r="J49" s="13" t="str">
        <x:v>新增</x:v>
      </x:c>
      <x:c r="K49" s="6" t="str">
        <x:v>电视机专用；也是备件。</x:v>
      </x:c>
      <x:c r="L49" s="10" t="n">
        <x:f aca="0">COUNTIF(建筑配方!$M$4:$M$118,B49)+COUNTIF(建筑配方!$N$4:$N$118,B49)</x:f>
        <x:v>1</x:v>
      </x:c>
      <x:c r="M49" s="10" t="n">
        <x:f aca="0">SUMPRODUCT(--(建筑配方!$G$4:$L$118=B49))</x:f>
        <x:v>2</x:v>
      </x:c>
      <x:c r="N49" s="10" t="str">
        <x:f aca="0">IF(AND(D49&lt;&gt;"原料",D49&lt;&gt;"燃料能源",L49=0),"⚠ 无来源",IF(AND(D49="日常用品",OR(F49="",H49="")),"⚠ 缺作用维度或问题来源",IF(OR(D49="大件",D49="日常用品",D49="服务品",D49="基础设施",D49="副产",D49="燃料能源",D49="金融品"),"OK",IF(M49=0,"⚠ 无去向","OK"))))</x:f>
        <x:v>OK</x:v>
      </x:c>
    </x:row>
    <x:row r="50" ht="15" hidden="0">
      <x:c r="A50" s="10" t="str">
        <x:v>I054</x:v>
      </x:c>
      <x:c r="B50" s="6" t="str">
        <x:v>电气配件</x:v>
      </x:c>
      <x:c r="C50" s="15" t="str">
        <x:v>工业化</x:v>
      </x:c>
      <x:c r="D50" s="70" t="str">
        <x:v>零部件</x:v>
      </x:c>
      <x:c r="E50" s="6" t="str">
        <x:v>电气件</x:v>
      </x:c>
      <x:c r="F50" s="6"/>
      <x:c r="G50" s="6"/>
      <x:c r="H50" s="6"/>
      <x:c r="I50" s="10"/>
      <x:c r="J50" s="13" t="str">
        <x:v>新增</x:v>
      </x:c>
      <x:c r="K50" s="6" t="str">
        <x:v>开关、插座、保险丝：水电系统、冰箱。</x:v>
      </x:c>
      <x:c r="L50" s="10" t="n">
        <x:f aca="0">COUNTIF(建筑配方!$M$4:$M$118,B50)+COUNTIF(建筑配方!$N$4:$N$118,B50)</x:f>
        <x:v>1</x:v>
      </x:c>
      <x:c r="M50" s="10" t="n">
        <x:f aca="0">SUMPRODUCT(--(建筑配方!$G$4:$L$118=B50))</x:f>
        <x:v>3</x:v>
      </x:c>
      <x:c r="N50" s="10" t="str">
        <x:f aca="0">IF(AND(D50&lt;&gt;"原料",D50&lt;&gt;"燃料能源",L50=0),"⚠ 无来源",IF(AND(D50="日常用品",OR(F50="",H50="")),"⚠ 缺作用维度或问题来源",IF(OR(D50="大件",D50="日常用品",D50="服务品",D50="基础设施",D50="副产",D50="燃料能源",D50="金融品"),"OK",IF(M50=0,"⚠ 无去向","OK"))))</x:f>
        <x:v>OK</x:v>
      </x:c>
    </x:row>
    <x:row r="51" ht="15" hidden="0">
      <x:c r="A51" s="10" t="str">
        <x:v>I055</x:v>
      </x:c>
      <x:c r="B51" s="6" t="str">
        <x:v>门窗</x:v>
      </x:c>
      <x:c r="C51" s="15" t="str">
        <x:v>工业化</x:v>
      </x:c>
      <x:c r="D51" s="70" t="str">
        <x:v>零部件</x:v>
      </x:c>
      <x:c r="E51" s="6" t="str">
        <x:v>建筑件</x:v>
      </x:c>
      <x:c r="F51" s="6"/>
      <x:c r="G51" s="6"/>
      <x:c r="H51" s="6"/>
      <x:c r="I51" s="10"/>
      <x:c r="J51" s="13" t="str">
        <x:v>新增</x:v>
      </x:c>
      <x:c r="K51" s="6" t="str">
        <x:v>住宅专用。</x:v>
      </x:c>
      <x:c r="L51" s="10" t="n">
        <x:f aca="0">COUNTIF(建筑配方!$M$4:$M$118,B51)+COUNTIF(建筑配方!$N$4:$N$118,B51)</x:f>
        <x:v>1</x:v>
      </x:c>
      <x:c r="M51" s="10" t="n">
        <x:f aca="0">SUMPRODUCT(--(建筑配方!$G$4:$L$118=B51))</x:f>
        <x:v>2</x:v>
      </x:c>
      <x:c r="N51" s="10" t="str">
        <x:f aca="0">IF(AND(D51&lt;&gt;"原料",D51&lt;&gt;"燃料能源",L51=0),"⚠ 无来源",IF(AND(D51="日常用品",OR(F51="",H51="")),"⚠ 缺作用维度或问题来源",IF(OR(D51="大件",D51="日常用品",D51="服务品",D51="基础设施",D51="副产",D51="燃料能源",D51="金融品"),"OK",IF(M51=0,"⚠ 无去向","OK"))))</x:f>
        <x:v>OK</x:v>
      </x:c>
    </x:row>
    <x:row r="52" ht="15" hidden="0">
      <x:c r="A52" s="10" t="str">
        <x:v>I057</x:v>
      </x:c>
      <x:c r="B52" s="6" t="str">
        <x:v>保温层</x:v>
      </x:c>
      <x:c r="C52" s="15" t="str">
        <x:v>中世纪</x:v>
      </x:c>
      <x:c r="D52" s="70" t="str">
        <x:v>零部件</x:v>
      </x:c>
      <x:c r="E52" s="6" t="str">
        <x:v>建筑件</x:v>
      </x:c>
      <x:c r="F52" s="6"/>
      <x:c r="G52" s="6"/>
      <x:c r="H52" s="6"/>
      <x:c r="I52" s="10"/>
      <x:c r="J52" s="13" t="str">
        <x:v>新增</x:v>
      </x:c>
      <x:c r="K52" s="6" t="str">
        <x:v>羊毛毡或泡沫塑料：住宅、冰箱、安全装备、内饰。</x:v>
      </x:c>
      <x:c r="L52" s="10" t="n">
        <x:f aca="0">COUNTIF(建筑配方!$M$4:$M$118,B52)+COUNTIF(建筑配方!$N$4:$N$118,B52)</x:f>
        <x:v>2</x:v>
      </x:c>
      <x:c r="M52" s="10" t="n">
        <x:f aca="0">SUMPRODUCT(--(建筑配方!$G$4:$L$118=B52))</x:f>
        <x:v>4</x:v>
      </x:c>
      <x:c r="N52" s="10" t="str">
        <x:f aca="0">IF(AND(D52&lt;&gt;"原料",D52&lt;&gt;"燃料能源",L52=0),"⚠ 无来源",IF(AND(D52="日常用品",OR(F52="",H52="")),"⚠ 缺作用维度或问题来源",IF(OR(D52="大件",D52="日常用品",D52="服务品",D52="基础设施",D52="副产",D52="燃料能源",D52="金融品"),"OK",IF(M52=0,"⚠ 无去向","OK"))))</x:f>
        <x:v>OK</x:v>
      </x:c>
    </x:row>
    <x:row r="53" ht="15" hidden="0">
      <x:c r="A53" s="10" t="str">
        <x:v>I058</x:v>
      </x:c>
      <x:c r="B53" s="6" t="str">
        <x:v>制冷剂</x:v>
      </x:c>
      <x:c r="C53" s="15" t="str">
        <x:v>现代</x:v>
      </x:c>
      <x:c r="D53" s="70" t="str">
        <x:v>零部件</x:v>
      </x:c>
      <x:c r="E53" s="6" t="str">
        <x:v>化工件</x:v>
      </x:c>
      <x:c r="F53" s="6"/>
      <x:c r="G53" s="6"/>
      <x:c r="H53" s="6"/>
      <x:c r="I53" s="10"/>
      <x:c r="J53" s="13" t="str">
        <x:v>新增</x:v>
      </x:c>
      <x:c r="K53" s="6" t="str">
        <x:v>冰箱专用，也是修理备件。</x:v>
      </x:c>
      <x:c r="L53" s="10" t="n">
        <x:f aca="0">COUNTIF(建筑配方!$M$4:$M$118,B53)+COUNTIF(建筑配方!$N$4:$N$118,B53)</x:f>
        <x:v>1</x:v>
      </x:c>
      <x:c r="M53" s="10" t="n">
        <x:f aca="0">SUMPRODUCT(--(建筑配方!$G$4:$L$118=B53))</x:f>
        <x:v>2</x:v>
      </x:c>
      <x:c r="N53" s="10" t="str">
        <x:f aca="0">IF(AND(D53&lt;&gt;"原料",D53&lt;&gt;"燃料能源",L53=0),"⚠ 无来源",IF(AND(D53="日常用品",OR(F53="",H53="")),"⚠ 缺作用维度或问题来源",IF(OR(D53="大件",D53="日常用品",D53="服务品",D53="基础设施",D53="副产",D53="燃料能源",D53="金融品"),"OK",IF(M53=0,"⚠ 无去向","OK"))))</x:f>
        <x:v>OK</x:v>
      </x:c>
    </x:row>
    <x:row r="54" ht="29.850000381469727" hidden="0">
      <x:c r="A54" s="10" t="str">
        <x:v>I059</x:v>
      </x:c>
      <x:c r="B54" s="6" t="str">
        <x:v>金属外壳</x:v>
      </x:c>
      <x:c r="C54" s="15" t="str">
        <x:v>现代</x:v>
      </x:c>
      <x:c r="D54" s="70" t="str">
        <x:v>零部件</x:v>
      </x:c>
      <x:c r="E54" s="6" t="str">
        <x:v>钣金件</x:v>
      </x:c>
      <x:c r="F54" s="6"/>
      <x:c r="G54" s="6"/>
      <x:c r="H54" s="6"/>
      <x:c r="I54" s="10"/>
      <x:c r="J54" s="13" t="str">
        <x:v>新增</x:v>
      </x:c>
      <x:c r="K54" s="6" t="str">
        <x:v>合并家电外壳与车身；冰箱、洗衣机与汽车共用钣金产线。</x:v>
      </x:c>
      <x:c r="L54" s="10" t="n">
        <x:f aca="0">COUNTIF(建筑配方!$M$4:$M$118,B54)+COUNTIF(建筑配方!$N$4:$N$118,B54)</x:f>
        <x:v>1</x:v>
      </x:c>
      <x:c r="M54" s="10" t="n">
        <x:f aca="0">SUMPRODUCT(--(建筑配方!$G$4:$L$118=B54))</x:f>
        <x:v>3</x:v>
      </x:c>
      <x:c r="N54" s="10" t="str">
        <x:f aca="0">IF(AND(D54&lt;&gt;"原料",D54&lt;&gt;"燃料能源",L54=0),"⚠ 无来源",IF(AND(D54="日常用品",OR(F54="",H54="")),"⚠ 缺作用维度或问题来源",IF(OR(D54="大件",D54="日常用品",D54="服务品",D54="基础设施",D54="副产",D54="燃料能源",D54="金融品"),"OK",IF(M54=0,"⚠ 无去向","OK"))))</x:f>
        <x:v>OK</x:v>
      </x:c>
    </x:row>
    <x:row r="55" ht="15" hidden="0">
      <x:c r="A55" s="10" t="str">
        <x:v>I061</x:v>
      </x:c>
      <x:c r="B55" s="6" t="str">
        <x:v>尾气净化器</x:v>
      </x:c>
      <x:c r="C55" s="15" t="str">
        <x:v>现代</x:v>
      </x:c>
      <x:c r="D55" s="70" t="str">
        <x:v>零部件</x:v>
      </x:c>
      <x:c r="E55" s="6" t="str">
        <x:v>汽车件</x:v>
      </x:c>
      <x:c r="F55" s="6"/>
      <x:c r="G55" s="6"/>
      <x:c r="H55" s="6"/>
      <x:c r="I55" s="10"/>
      <x:c r="J55" s="13" t="str">
        <x:v>新增</x:v>
      </x:c>
      <x:c r="K55" s="6" t="str">
        <x:v>治理汽车产生的废气：抵消“拥有汽车”带来的副作用。</x:v>
      </x:c>
      <x:c r="L55" s="10" t="n">
        <x:f aca="0">COUNTIF(建筑配方!$M$4:$M$118,B55)+COUNTIF(建筑配方!$N$4:$N$118,B55)</x:f>
        <x:v>1</x:v>
      </x:c>
      <x:c r="M55" s="10" t="n">
        <x:f aca="0">SUMPRODUCT(--(建筑配方!$G$4:$L$118=B55))</x:f>
        <x:v>1</x:v>
      </x:c>
      <x:c r="N55" s="10" t="str">
        <x:f aca="0">IF(AND(D55&lt;&gt;"原料",D55&lt;&gt;"燃料能源",L55=0),"⚠ 无来源",IF(AND(D55="日常用品",OR(F55="",H55="")),"⚠ 缺作用维度或问题来源",IF(OR(D55="大件",D55="日常用品",D55="服务品",D55="基础设施",D55="副产",D55="燃料能源",D55="金融品"),"OK",IF(M55=0,"⚠ 无去向","OK"))))</x:f>
        <x:v>OK</x:v>
      </x:c>
    </x:row>
    <x:row r="56" ht="29.850000381469727" hidden="0">
      <x:c r="A56" s="10" t="str">
        <x:v>I062</x:v>
      </x:c>
      <x:c r="B56" s="6" t="str">
        <x:v>电梯</x:v>
      </x:c>
      <x:c r="C56" s="14" t="str">
        <x:v>现代</x:v>
      </x:c>
      <x:c r="D56" s="70" t="str">
        <x:v>零部件</x:v>
      </x:c>
      <x:c r="E56" s="6" t="str">
        <x:v>机电件</x:v>
      </x:c>
      <x:c r="F56" s="6"/>
      <x:c r="G56" s="6"/>
      <x:c r="H56" s="6"/>
      <x:c r="I56" s="10"/>
      <x:c r="J56" s="13" t="str">
        <x:v>新增</x:v>
      </x:c>
      <x:c r="K56" s="6" t="str">
        <x:v>公寓专用：高密度居住的代价是多一个要维护的件。</x:v>
      </x:c>
      <x:c r="L56" s="10" t="n">
        <x:f aca="0">COUNTIF(建筑配方!$M$4:$M$118,B56)+COUNTIF(建筑配方!$N$4:$N$118,B56)</x:f>
        <x:v>1</x:v>
      </x:c>
      <x:c r="M56" s="10" t="n">
        <x:f aca="0">SUMPRODUCT(--(建筑配方!$G$4:$L$118=B56))</x:f>
        <x:v>1</x:v>
      </x:c>
      <x:c r="N56" s="10" t="str">
        <x:f aca="0">IF(AND(D56&lt;&gt;"原料",D56&lt;&gt;"燃料能源",L56=0),"⚠ 无来源",IF(AND(D56="日常用品",OR(F56="",H56="")),"⚠ 缺作用维度或问题来源",IF(OR(D56="大件",D56="日常用品",D56="服务品",D56="基础设施",D56="副产",D56="燃料能源",D56="金融品"),"OK",IF(M56=0,"⚠ 无去向","OK"))))</x:f>
        <x:v>OK</x:v>
      </x:c>
    </x:row>
    <x:row r="57" ht="15" hidden="0">
      <x:c r="A57" s="10" t="str">
        <x:v>I063</x:v>
      </x:c>
      <x:c r="B57" s="6" t="str">
        <x:v>内饰</x:v>
      </x:c>
      <x:c r="C57" s="14" t="str">
        <x:v>现代</x:v>
      </x:c>
      <x:c r="D57" s="70" t="str">
        <x:v>零部件</x:v>
      </x:c>
      <x:c r="E57" s="6" t="str">
        <x:v>汽车件</x:v>
      </x:c>
      <x:c r="F57" s="6"/>
      <x:c r="G57" s="6"/>
      <x:c r="H57" s="6"/>
      <x:c r="I57" s="10"/>
      <x:c r="J57" s="13" t="str">
        <x:v>新增</x:v>
      </x:c>
      <x:c r="K57" s="6" t="str">
        <x:v>汽车专用。</x:v>
      </x:c>
      <x:c r="L57" s="10" t="n">
        <x:f aca="0">COUNTIF(建筑配方!$M$4:$M$118,B57)+COUNTIF(建筑配方!$N$4:$N$118,B57)</x:f>
        <x:v>1</x:v>
      </x:c>
      <x:c r="M57" s="10" t="n">
        <x:f aca="0">SUMPRODUCT(--(建筑配方!$G$4:$L$118=B57))</x:f>
        <x:v>1</x:v>
      </x:c>
      <x:c r="N57" s="10" t="str">
        <x:f aca="0">IF(AND(D57&lt;&gt;"原料",D57&lt;&gt;"燃料能源",L57=0),"⚠ 无来源",IF(AND(D57="日常用品",OR(F57="",H57="")),"⚠ 缺作用维度或问题来源",IF(OR(D57="大件",D57="日常用品",D57="服务品",D57="基础设施",D57="副产",D57="燃料能源",D57="金融品"),"OK",IF(M57=0,"⚠ 无去向","OK"))))</x:f>
        <x:v>OK</x:v>
      </x:c>
    </x:row>
    <x:row r="58" ht="15" hidden="0">
      <x:c r="A58" s="10" t="str">
        <x:v>I064</x:v>
      </x:c>
      <x:c r="B58" s="6" t="str">
        <x:v>墙体</x:v>
      </x:c>
      <x:c r="C58" s="14" t="str">
        <x:v>工业化</x:v>
      </x:c>
      <x:c r="D58" s="72" t="str">
        <x:v>总成</x:v>
      </x:c>
      <x:c r="E58" s="6" t="str">
        <x:v>建筑总成</x:v>
      </x:c>
      <x:c r="F58" s="6"/>
      <x:c r="G58" s="6"/>
      <x:c r="H58" s="6"/>
      <x:c r="I58" s="10"/>
      <x:c r="J58" s="13" t="str">
        <x:v>新增</x:v>
      </x:c>
      <x:c r="K58" s="6" t="str">
        <x:v>由砂岩、燃料、水泥直接预制；取消砖中间环节。</x:v>
      </x:c>
      <x:c r="L58" s="10" t="n">
        <x:f aca="0">COUNTIF(建筑配方!$M$4:$M$118,B58)+COUNTIF(建筑配方!$N$4:$N$118,B58)</x:f>
        <x:v>1</x:v>
      </x:c>
      <x:c r="M58" s="10" t="n">
        <x:f aca="0">SUMPRODUCT(--(建筑配方!$G$4:$L$118=B58))</x:f>
        <x:v>1</x:v>
      </x:c>
      <x:c r="N58" s="10" t="str">
        <x:f aca="0">IF(AND(D58&lt;&gt;"原料",D58&lt;&gt;"燃料能源",L58=0),"⚠ 无来源",IF(AND(D58="日常用品",OR(F58="",H58="")),"⚠ 缺作用维度或问题来源",IF(OR(D58="大件",D58="日常用品",D58="服务品",D58="基础设施",D58="副产",D58="燃料能源",D58="金融品"),"OK",IF(M58=0,"⚠ 无去向","OK"))))</x:f>
        <x:v>OK</x:v>
      </x:c>
    </x:row>
    <x:row r="59" ht="15" hidden="0">
      <x:c r="A59" s="10" t="str">
        <x:v>I065</x:v>
      </x:c>
      <x:c r="B59" s="6" t="str">
        <x:v>屋顶</x:v>
      </x:c>
      <x:c r="C59" s="11" t="str">
        <x:v>工业化</x:v>
      </x:c>
      <x:c r="D59" s="72" t="str">
        <x:v>总成</x:v>
      </x:c>
      <x:c r="E59" s="6" t="str">
        <x:v>建筑总成</x:v>
      </x:c>
      <x:c r="F59" s="6"/>
      <x:c r="G59" s="6"/>
      <x:c r="H59" s="6"/>
      <x:c r="I59" s="10"/>
      <x:c r="J59" s="13" t="str">
        <x:v>新增</x:v>
      </x:c>
      <x:c r="K59" s="6" t="str">
        <x:v>由木板、紧固件、屋瓦直接生产；取消屋架中间环节。</x:v>
      </x:c>
      <x:c r="L59" s="10" t="n">
        <x:f aca="0">COUNTIF(建筑配方!$M$4:$M$118,B59)+COUNTIF(建筑配方!$N$4:$N$118,B59)</x:f>
        <x:v>1</x:v>
      </x:c>
      <x:c r="M59" s="10" t="n">
        <x:f aca="0">SUMPRODUCT(--(建筑配方!$G$4:$L$118=B59))</x:f>
        <x:v>1</x:v>
      </x:c>
      <x:c r="N59" s="10" t="str">
        <x:f aca="0">IF(AND(D59&lt;&gt;"原料",D59&lt;&gt;"燃料能源",L59=0),"⚠ 无来源",IF(AND(D59="日常用品",OR(F59="",H59="")),"⚠ 缺作用维度或问题来源",IF(OR(D59="大件",D59="日常用品",D59="服务品",D59="基础设施",D59="副产",D59="燃料能源",D59="金融品"),"OK",IF(M59=0,"⚠ 无去向","OK"))))</x:f>
        <x:v>OK</x:v>
      </x:c>
    </x:row>
    <x:row r="60" ht="15" hidden="0">
      <x:c r="A60" s="10" t="str">
        <x:v>I066</x:v>
      </x:c>
      <x:c r="B60" s="6" t="str">
        <x:v>水电系统</x:v>
      </x:c>
      <x:c r="C60" s="11" t="str">
        <x:v>工业化</x:v>
      </x:c>
      <x:c r="D60" s="72" t="str">
        <x:v>总成</x:v>
      </x:c>
      <x:c r="E60" s="6" t="str">
        <x:v>建筑总成</x:v>
      </x:c>
      <x:c r="F60" s="6"/>
      <x:c r="G60" s="6"/>
      <x:c r="H60" s="6"/>
      <x:c r="I60" s="10"/>
      <x:c r="J60" s="13" t="str">
        <x:v>新增</x:v>
      </x:c>
      <x:c r="K60" s="6"/>
      <x:c r="L60" s="10" t="n">
        <x:f aca="0">COUNTIF(建筑配方!$M$4:$M$118,B60)+COUNTIF(建筑配方!$N$4:$N$118,B60)</x:f>
        <x:v>1</x:v>
      </x:c>
      <x:c r="M60" s="10" t="n">
        <x:f aca="0">SUMPRODUCT(--(建筑配方!$G$4:$L$118=B60))</x:f>
        <x:v>2</x:v>
      </x:c>
      <x:c r="N60" s="10" t="str">
        <x:f aca="0">IF(AND(D60&lt;&gt;"原料",D60&lt;&gt;"燃料能源",L60=0),"⚠ 无来源",IF(AND(D60="日常用品",OR(F60="",H60="")),"⚠ 缺作用维度或问题来源",IF(OR(D60="大件",D60="日常用品",D60="服务品",D60="基础设施",D60="副产",D60="燃料能源",D60="金融品"),"OK",IF(M60=0,"⚠ 无去向","OK"))))</x:f>
        <x:v>OK</x:v>
      </x:c>
    </x:row>
    <x:row r="61" ht="15" hidden="0">
      <x:c r="A61" s="10" t="str">
        <x:v>I067</x:v>
      </x:c>
      <x:c r="B61" s="6" t="str">
        <x:v>混凝土结构</x:v>
      </x:c>
      <x:c r="C61" s="15" t="str">
        <x:v>现代</x:v>
      </x:c>
      <x:c r="D61" s="72" t="str">
        <x:v>总成</x:v>
      </x:c>
      <x:c r="E61" s="6" t="str">
        <x:v>建筑总成</x:v>
      </x:c>
      <x:c r="F61" s="6"/>
      <x:c r="G61" s="6"/>
      <x:c r="H61" s="6"/>
      <x:c r="I61" s="10"/>
      <x:c r="J61" s="13" t="str">
        <x:v>新增</x:v>
      </x:c>
      <x:c r="K61" s="6"/>
      <x:c r="L61" s="10" t="n">
        <x:f aca="0">COUNTIF(建筑配方!$M$4:$M$118,B61)+COUNTIF(建筑配方!$N$4:$N$118,B61)</x:f>
        <x:v>1</x:v>
      </x:c>
      <x:c r="M61" s="10" t="n">
        <x:f aca="0">SUMPRODUCT(--(建筑配方!$G$4:$L$118=B61))</x:f>
        <x:v>1</x:v>
      </x:c>
      <x:c r="N61" s="10" t="str">
        <x:f aca="0">IF(AND(D61&lt;&gt;"原料",D61&lt;&gt;"燃料能源",L61=0),"⚠ 无来源",IF(AND(D61="日常用品",OR(F61="",H61="")),"⚠ 缺作用维度或问题来源",IF(OR(D61="大件",D61="日常用品",D61="服务品",D61="基础设施",D61="副产",D61="燃料能源",D61="金融品"),"OK",IF(M61=0,"⚠ 无去向","OK"))))</x:f>
        <x:v>OK</x:v>
      </x:c>
    </x:row>
    <x:row r="62" ht="15" hidden="0">
      <x:c r="A62" s="10" t="str">
        <x:v>I068</x:v>
      </x:c>
      <x:c r="B62" s="6" t="str">
        <x:v>动力装置</x:v>
      </x:c>
      <x:c r="C62" s="15" t="str">
        <x:v>现代</x:v>
      </x:c>
      <x:c r="D62" s="72" t="str">
        <x:v>总成</x:v>
      </x:c>
      <x:c r="E62" s="6" t="str">
        <x:v>汽车总成</x:v>
      </x:c>
      <x:c r="F62" s="6"/>
      <x:c r="G62" s="6"/>
      <x:c r="H62" s="6"/>
      <x:c r="I62" s="10"/>
      <x:c r="J62" s="13" t="str">
        <x:v>新增</x:v>
      </x:c>
      <x:c r="K62" s="6" t="str">
        <x:v>合并发动机、变速箱、动力总成，直接以钢材、铝材、机械零件制造，取消二次装配。</x:v>
      </x:c>
      <x:c r="L62" s="10" t="n">
        <x:f aca="0">COUNTIF(建筑配方!$M$4:$M$118,B62)+COUNTIF(建筑配方!$N$4:$N$118,B62)</x:f>
        <x:v>1</x:v>
      </x:c>
      <x:c r="M62" s="10" t="n">
        <x:f aca="0">SUMPRODUCT(--(建筑配方!$G$4:$L$118=B62))</x:f>
        <x:v>1</x:v>
      </x:c>
      <x:c r="N62" s="10" t="str">
        <x:f aca="0">IF(AND(D62&lt;&gt;"原料",D62&lt;&gt;"燃料能源",L62=0),"⚠ 无来源",IF(AND(D62="日常用品",OR(F62="",H62="")),"⚠ 缺作用维度或问题来源",IF(OR(D62="大件",D62="日常用品",D62="服务品",D62="基础设施",D62="副产",D62="燃料能源",D62="金融品"),"OK",IF(M62=0,"⚠ 无去向","OK"))))</x:f>
        <x:v>OK</x:v>
      </x:c>
    </x:row>
    <x:row r="63" ht="15" hidden="0">
      <x:c r="A63" s="10" t="str">
        <x:v>I069</x:v>
      </x:c>
      <x:c r="B63" s="6" t="str">
        <x:v>底盘</x:v>
      </x:c>
      <x:c r="C63" s="14" t="str">
        <x:v>现代</x:v>
      </x:c>
      <x:c r="D63" s="72" t="str">
        <x:v>总成</x:v>
      </x:c>
      <x:c r="E63" s="6" t="str">
        <x:v>汽车总成</x:v>
      </x:c>
      <x:c r="F63" s="6"/>
      <x:c r="G63" s="6"/>
      <x:c r="H63" s="6"/>
      <x:c r="I63" s="10"/>
      <x:c r="J63" s="13" t="str">
        <x:v>新增</x:v>
      </x:c>
      <x:c r="K63" s="6"/>
      <x:c r="L63" s="10" t="n">
        <x:f aca="0">COUNTIF(建筑配方!$M$4:$M$118,B63)+COUNTIF(建筑配方!$N$4:$N$118,B63)</x:f>
        <x:v>1</x:v>
      </x:c>
      <x:c r="M63" s="10" t="n">
        <x:f aca="0">SUMPRODUCT(--(建筑配方!$G$4:$L$118=B63))</x:f>
        <x:v>1</x:v>
      </x:c>
      <x:c r="N63" s="10" t="str">
        <x:f aca="0">IF(AND(D63&lt;&gt;"原料",D63&lt;&gt;"燃料能源",L63=0),"⚠ 无来源",IF(AND(D63="日常用品",OR(F63="",H63="")),"⚠ 缺作用维度或问题来源",IF(OR(D63="大件",D63="日常用品",D63="服务品",D63="基础设施",D63="副产",D63="燃料能源",D63="金融品"),"OK",IF(M63=0,"⚠ 无去向","OK"))))</x:f>
        <x:v>OK</x:v>
      </x:c>
    </x:row>
    <x:row r="64" ht="15" hidden="0">
      <x:c r="A64" s="10" t="str">
        <x:v>I070</x:v>
      </x:c>
      <x:c r="B64" s="6" t="str">
        <x:v>车载电气</x:v>
      </x:c>
      <x:c r="C64" s="15" t="str">
        <x:v>现代</x:v>
      </x:c>
      <x:c r="D64" s="72" t="str">
        <x:v>总成</x:v>
      </x:c>
      <x:c r="E64" s="6" t="str">
        <x:v>汽车总成</x:v>
      </x:c>
      <x:c r="F64" s="6"/>
      <x:c r="G64" s="6"/>
      <x:c r="H64" s="6"/>
      <x:c r="I64" s="10"/>
      <x:c r="J64" s="13" t="str">
        <x:v>新增</x:v>
      </x:c>
      <x:c r="K64" s="6"/>
      <x:c r="L64" s="10" t="n">
        <x:f aca="0">COUNTIF(建筑配方!$M$4:$M$118,B64)+COUNTIF(建筑配方!$N$4:$N$118,B64)</x:f>
        <x:v>1</x:v>
      </x:c>
      <x:c r="M64" s="10" t="n">
        <x:f aca="0">SUMPRODUCT(--(建筑配方!$G$4:$L$118=B64))</x:f>
        <x:v>1</x:v>
      </x:c>
      <x:c r="N64" s="10" t="str">
        <x:f aca="0">IF(AND(D64&lt;&gt;"原料",D64&lt;&gt;"燃料能源",L64=0),"⚠ 无来源",IF(AND(D64="日常用品",OR(F64="",H64="")),"⚠ 缺作用维度或问题来源",IF(OR(D64="大件",D64="日常用品",D64="服务品",D64="基础设施",D64="副产",D64="燃料能源",D64="金融品"),"OK",IF(M64=0,"⚠ 无去向","OK"))))</x:f>
        <x:v>OK</x:v>
      </x:c>
    </x:row>
    <x:row r="65" ht="15" hidden="0">
      <x:c r="A65" s="10" t="str">
        <x:v>I072</x:v>
      </x:c>
      <x:c r="B65" s="6" t="str">
        <x:v>砂岩屋</x:v>
      </x:c>
      <x:c r="C65" s="15" t="str">
        <x:v>中世纪</x:v>
      </x:c>
      <x:c r="D65" s="74" t="str">
        <x:v>大件</x:v>
      </x:c>
      <x:c r="E65" s="6" t="str">
        <x:v>住宅</x:v>
      </x:c>
      <x:c r="F65" s="6" t="str">
        <x:v>疲劳</x:v>
      </x:c>
      <x:c r="G65" s="6" t="str">
        <x:v>遮蔽与睡眠的入门住所</x:v>
      </x:c>
      <x:c r="H65" s="6" t="str">
        <x:v>—</x:v>
      </x:c>
      <x:c r="I65" s="10" t="str">
        <x:v>现款/建造</x:v>
      </x:c>
      <x:c r="J65" s="13" t="str">
        <x:v>新增</x:v>
      </x:c>
      <x:c r="K65" s="6" t="str">
        <x:v>拥有后：状况会老化（修缮）；配套=家具、寝具；没有管网和电网，洗浴要去澡堂。入门款，没有水电问题。</x:v>
      </x:c>
      <x:c r="L65" s="10" t="n">
        <x:f aca="0">COUNTIF(建筑配方!$M$4:$M$118,B65)+COUNTIF(建筑配方!$N$4:$N$118,B65)</x:f>
        <x:v>1</x:v>
      </x:c>
      <x:c r="M65" s="10" t="n">
        <x:f aca="0">SUMPRODUCT(--(建筑配方!$G$4:$L$118=B65))</x:f>
        <x:v>0</x:v>
      </x:c>
      <x:c r="N65" s="10" t="str">
        <x:f aca="0">IF(AND(D65&lt;&gt;"原料",D65&lt;&gt;"燃料能源",L65=0),"⚠ 无来源",IF(AND(D65="日常用品",OR(F65="",H65="")),"⚠ 缺作用维度或问题来源",IF(OR(D65="大件",D65="日常用品",D65="服务品",D65="基础设施",D65="副产",D65="燃料能源",D65="金融品"),"OK",IF(M65=0,"⚠ 无去向","OK"))))</x:f>
        <x:v>OK</x:v>
      </x:c>
    </x:row>
    <x:row r="66" ht="15" hidden="0">
      <x:c r="A66" s="10" t="str">
        <x:v>I073</x:v>
      </x:c>
      <x:c r="B66" s="6" t="str">
        <x:v>砖房</x:v>
      </x:c>
      <x:c r="C66" s="15" t="str">
        <x:v>工业化</x:v>
      </x:c>
      <x:c r="D66" s="74" t="str">
        <x:v>大件</x:v>
      </x:c>
      <x:c r="E66" s="6" t="str">
        <x:v>住宅</x:v>
      </x:c>
      <x:c r="F66" s="6" t="str">
        <x:v>疲劳、整洁</x:v>
      </x:c>
      <x:c r="G66" s="6" t="str">
        <x:v>带水电的住所，可在家洗浴</x:v>
      </x:c>
      <x:c r="H66" s="6" t="str">
        <x:v>—</x:v>
      </x:c>
      <x:c r="I66" s="10" t="str">
        <x:v>分期</x:v>
      </x:c>
      <x:c r="J66" s="13" t="str">
        <x:v>新增</x:v>
      </x:c>
      <x:c r="K66" s="6" t="str">
        <x:v>拥有后：耗材=灯泡、清水、清洁用品；磨损=状况老化（修缮）；配套=家具、寝具；副作用=废水；依赖管网与电网。</x:v>
      </x:c>
      <x:c r="L66" s="10" t="n">
        <x:f aca="0">COUNTIF(建筑配方!$M$4:$M$118,B66)+COUNTIF(建筑配方!$N$4:$N$118,B66)</x:f>
        <x:v>1</x:v>
      </x:c>
      <x:c r="M66" s="10" t="n">
        <x:f aca="0">SUMPRODUCT(--(建筑配方!$G$4:$L$118=B66))</x:f>
        <x:v>1</x:v>
      </x:c>
      <x:c r="N66" s="10" t="str">
        <x:f aca="0">IF(AND(D66&lt;&gt;"原料",D66&lt;&gt;"燃料能源",L66=0),"⚠ 无来源",IF(AND(D66="日常用品",OR(F66="",H66="")),"⚠ 缺作用维度或问题来源",IF(OR(D66="大件",D66="日常用品",D66="服务品",D66="基础设施",D66="副产",D66="燃料能源",D66="金融品"),"OK",IF(M66=0,"⚠ 无去向","OK"))))</x:f>
        <x:v>OK</x:v>
      </x:c>
    </x:row>
    <x:row r="67" ht="15" hidden="0">
      <x:c r="A67" s="10" t="str">
        <x:v>I074</x:v>
      </x:c>
      <x:c r="B67" s="6" t="str">
        <x:v>混凝土公寓</x:v>
      </x:c>
      <x:c r="C67" s="14" t="str">
        <x:v>现代</x:v>
      </x:c>
      <x:c r="D67" s="74" t="str">
        <x:v>大件</x:v>
      </x:c>
      <x:c r="E67" s="6" t="str">
        <x:v>住宅</x:v>
      </x:c>
      <x:c r="F67" s="6" t="str">
        <x:v>疲劳、整洁</x:v>
      </x:c>
      <x:c r="G67" s="6" t="str">
        <x:v>高密度居住</x:v>
      </x:c>
      <x:c r="H67" s="6" t="str">
        <x:v>—</x:v>
      </x:c>
      <x:c r="I67" s="10" t="str">
        <x:v>分期</x:v>
      </x:c>
      <x:c r="J67" s="13" t="str">
        <x:v>新增</x:v>
      </x:c>
      <x:c r="K67" s="6" t="str">
        <x:v>拥有后：同砖房，另加电梯的维护；密度上升 → 居住与工作分离 → 通勤压力（汽车的需求来源）。</x:v>
      </x:c>
      <x:c r="L67" s="10" t="n">
        <x:f aca="0">COUNTIF(建筑配方!$M$4:$M$118,B67)+COUNTIF(建筑配方!$N$4:$N$118,B67)</x:f>
        <x:v>1</x:v>
      </x:c>
      <x:c r="M67" s="10" t="n">
        <x:f aca="0">SUMPRODUCT(--(建筑配方!$G$4:$L$118=B67))</x:f>
        <x:v>1</x:v>
      </x:c>
      <x:c r="N67" s="10" t="str">
        <x:f aca="0">IF(AND(D67&lt;&gt;"原料",D67&lt;&gt;"燃料能源",L67=0),"⚠ 无来源",IF(AND(D67="日常用品",OR(F67="",H67="")),"⚠ 缺作用维度或问题来源",IF(OR(D67="大件",D67="日常用品",D67="服务品",D67="基础设施",D67="副产",D67="燃料能源",D67="金融品"),"OK",IF(M67=0,"⚠ 无去向","OK"))))</x:f>
        <x:v>OK</x:v>
      </x:c>
    </x:row>
    <x:row r="68" ht="15" hidden="0">
      <x:c r="A68" s="10" t="str">
        <x:v>I075</x:v>
      </x:c>
      <x:c r="B68" s="6" t="str">
        <x:v>汽车</x:v>
      </x:c>
      <x:c r="C68" s="14" t="str">
        <x:v>现代</x:v>
      </x:c>
      <x:c r="D68" s="74" t="str">
        <x:v>大件</x:v>
      </x:c>
      <x:c r="E68" s="6" t="str">
        <x:v>出行</x:v>
      </x:c>
      <x:c r="F68" s="6" t="str">
        <x:v>时间</x:v>
      </x:c>
      <x:c r="G68" s="6" t="str">
        <x:v>省下通勤与购物的路程时间</x:v>
      </x:c>
      <x:c r="H68" s="6" t="str">
        <x:v>—</x:v>
      </x:c>
      <x:c r="I68" s="10" t="str">
        <x:v>分期</x:v>
      </x:c>
      <x:c r="J68" s="13" t="str">
        <x:v>新增</x:v>
      </x:c>
      <x:c r="K68" s="6" t="str">
        <x:v>拥有后：耗材=燃油、润滑油；磨损=轮胎、蓄电池（汽车修理）；副作用=废气（劳保用品、净化器）；配套=公路。</x:v>
      </x:c>
      <x:c r="L68" s="10" t="n">
        <x:f aca="0">COUNTIF(建筑配方!$M$4:$M$118,B68)+COUNTIF(建筑配方!$N$4:$N$118,B68)</x:f>
        <x:v>1</x:v>
      </x:c>
      <x:c r="M68" s="10" t="n">
        <x:f aca="0">SUMPRODUCT(--(建筑配方!$G$4:$L$118=B68))</x:f>
        <x:v>1</x:v>
      </x:c>
      <x:c r="N68" s="10" t="str">
        <x:f aca="0">IF(AND(D68&lt;&gt;"原料",D68&lt;&gt;"燃料能源",L68=0),"⚠ 无来源",IF(AND(D68="日常用品",OR(F68="",H68="")),"⚠ 缺作用维度或问题来源",IF(OR(D68="大件",D68="日常用品",D68="服务品",D68="基础设施",D68="副产",D68="燃料能源",D68="金融品"),"OK",IF(M68=0,"⚠ 无去向","OK"))))</x:f>
        <x:v>OK</x:v>
      </x:c>
    </x:row>
    <x:row r="69" ht="15" hidden="0">
      <x:c r="A69" s="10" t="str">
        <x:v>I076</x:v>
      </x:c>
      <x:c r="B69" s="6" t="str">
        <x:v>冰箱</x:v>
      </x:c>
      <x:c r="C69" s="14" t="str">
        <x:v>现代</x:v>
      </x:c>
      <x:c r="D69" s="74" t="str">
        <x:v>大件</x:v>
      </x:c>
      <x:c r="E69" s="6" t="str">
        <x:v>家电</x:v>
      </x:c>
      <x:c r="F69" s="6" t="str">
        <x:v>保鲜</x:v>
      </x:c>
      <x:c r="G69" s="6" t="str">
        <x:v>家中食物保质期延长，腐烂不再逼着当天吃完</x:v>
      </x:c>
      <x:c r="H69" s="6" t="str">
        <x:v>—</x:v>
      </x:c>
      <x:c r="I69" s="10" t="str">
        <x:v>分期</x:v>
      </x:c>
      <x:c r="J69" s="13" t="str">
        <x:v>新增</x:v>
      </x:c>
      <x:c r="K69" s="6" t="str">
        <x:v>拥有后：耗电；需要压缩机和制冷剂备件，由家电维修铺提供“家电维修”。</x:v>
      </x:c>
      <x:c r="L69" s="10" t="n">
        <x:f aca="0">COUNTIF(建筑配方!$M$4:$M$118,B69)+COUNTIF(建筑配方!$N$4:$N$118,B69)</x:f>
        <x:v>1</x:v>
      </x:c>
      <x:c r="M69" s="10" t="n">
        <x:f aca="0">SUMPRODUCT(--(建筑配方!$G$4:$L$118=B69))</x:f>
        <x:v>1</x:v>
      </x:c>
      <x:c r="N69" s="10" t="str">
        <x:f aca="0">IF(AND(D69&lt;&gt;"原料",D69&lt;&gt;"燃料能源",L69=0),"⚠ 无来源",IF(AND(D69="日常用品",OR(F69="",H69="")),"⚠ 缺作用维度或问题来源",IF(OR(D69="大件",D69="日常用品",D69="服务品",D69="基础设施",D69="副产",D69="燃料能源",D69="金融品"),"OK",IF(M69=0,"⚠ 无去向","OK"))))</x:f>
        <x:v>OK</x:v>
      </x:c>
    </x:row>
    <x:row r="70" ht="15" hidden="0">
      <x:c r="A70" s="10" t="str">
        <x:v>I077</x:v>
      </x:c>
      <x:c r="B70" s="6" t="str">
        <x:v>洗衣机</x:v>
      </x:c>
      <x:c r="C70" s="15" t="str">
        <x:v>现代</x:v>
      </x:c>
      <x:c r="D70" s="74" t="str">
        <x:v>大件</x:v>
      </x:c>
      <x:c r="E70" s="6" t="str">
        <x:v>家电</x:v>
      </x:c>
      <x:c r="F70" s="6" t="str">
        <x:v>整洁、时间</x:v>
      </x:c>
      <x:c r="G70" s="6" t="str">
        <x:v>衣物自动洗净，省掉手洗占用的时间</x:v>
      </x:c>
      <x:c r="H70" s="6" t="str">
        <x:v>—</x:v>
      </x:c>
      <x:c r="I70" s="10" t="str">
        <x:v>分期</x:v>
      </x:c>
      <x:c r="J70" s="13" t="str">
        <x:v>新增</x:v>
      </x:c>
      <x:c r="K70" s="6" t="str">
        <x:v>拥有后：耗材=电、清水、清洁用品；需要电机、水泵、电路板备件，由家电维修铺提供“家电维修”。</x:v>
      </x:c>
      <x:c r="L70" s="10" t="n">
        <x:f aca="0">COUNTIF(建筑配方!$M$4:$M$118,B70)+COUNTIF(建筑配方!$N$4:$N$118,B70)</x:f>
        <x:v>1</x:v>
      </x:c>
      <x:c r="M70" s="10" t="n">
        <x:f aca="0">SUMPRODUCT(--(建筑配方!$G$4:$L$118=B70))</x:f>
        <x:v>1</x:v>
      </x:c>
      <x:c r="N70" s="10" t="str">
        <x:f aca="0">IF(AND(D70&lt;&gt;"原料",D70&lt;&gt;"燃料能源",L70=0),"⚠ 无来源",IF(AND(D70="日常用品",OR(F70="",H70="")),"⚠ 缺作用维度或问题来源",IF(OR(D70="大件",D70="日常用品",D70="服务品",D70="基础设施",D70="副产",D70="燃料能源",D70="金融品"),"OK",IF(M70=0,"⚠ 无去向","OK"))))</x:f>
        <x:v>OK</x:v>
      </x:c>
    </x:row>
    <x:row r="71" ht="15" hidden="0">
      <x:c r="A71" s="10" t="str">
        <x:v>I078</x:v>
      </x:c>
      <x:c r="B71" s="6" t="str">
        <x:v>电视机</x:v>
      </x:c>
      <x:c r="C71" s="15" t="str">
        <x:v>现代</x:v>
      </x:c>
      <x:c r="D71" s="74" t="str">
        <x:v>大件</x:v>
      </x:c>
      <x:c r="E71" s="6" t="str">
        <x:v>家电</x:v>
      </x:c>
      <x:c r="F71" s="6" t="str">
        <x:v>心情</x:v>
      </x:c>
      <x:c r="G71" s="6" t="str">
        <x:v>在家获得娱乐</x:v>
      </x:c>
      <x:c r="H71" s="6" t="str">
        <x:v>—</x:v>
      </x:c>
      <x:c r="I71" s="10" t="str">
        <x:v>分期</x:v>
      </x:c>
      <x:c r="J71" s="13" t="str">
        <x:v>新增</x:v>
      </x:c>
      <x:c r="K71" s="6" t="str">
        <x:v>拥有后：耗材=电、节目；需要显示屏、电路板备件，由家电维修铺提供“家电维修”。</x:v>
      </x:c>
      <x:c r="L71" s="10" t="n">
        <x:f aca="0">COUNTIF(建筑配方!$M$4:$M$118,B71)+COUNTIF(建筑配方!$N$4:$N$118,B71)</x:f>
        <x:v>1</x:v>
      </x:c>
      <x:c r="M71" s="10" t="n">
        <x:f aca="0">SUMPRODUCT(--(建筑配方!$G$4:$L$118=B71))</x:f>
        <x:v>1</x:v>
      </x:c>
      <x:c r="N71" s="10" t="str">
        <x:f aca="0">IF(AND(D71&lt;&gt;"原料",D71&lt;&gt;"燃料能源",L71=0),"⚠ 无来源",IF(AND(D71="日常用品",OR(F71="",H71="")),"⚠ 缺作用维度或问题来源",IF(OR(D71="大件",D71="日常用品",D71="服务品",D71="基础设施",D71="副产",D71="燃料能源",D71="金融品"),"OK",IF(M71=0,"⚠ 无去向","OK"))))</x:f>
        <x:v>OK</x:v>
      </x:c>
    </x:row>
    <x:row r="72" ht="15" hidden="0">
      <x:c r="A72" s="10" t="str">
        <x:v>I079</x:v>
      </x:c>
      <x:c r="B72" s="6" t="str">
        <x:v>面包</x:v>
      </x:c>
      <x:c r="C72" s="15" t="str">
        <x:v>中世纪</x:v>
      </x:c>
      <x:c r="D72" s="76" t="str">
        <x:v>日常用品</x:v>
      </x:c>
      <x:c r="E72" s="6" t="str">
        <x:v>食物</x:v>
      </x:c>
      <x:c r="F72" s="6" t="str">
        <x:v>饥饿</x:v>
      </x:c>
      <x:c r="G72" s="6" t="str">
        <x:v>解决饥饿；全局价格锚点</x:v>
      </x:c>
      <x:c r="H72" s="6" t="str">
        <x:v>生存底座</x:v>
      </x:c>
      <x:c r="I72" s="10" t="str">
        <x:v>现款</x:v>
      </x:c>
      <x:c r="J72" s="13" t="str">
        <x:v>现有</x:v>
      </x:c>
      <x:c r="K72" s="6"/>
      <x:c r="L72" s="10" t="n">
        <x:f aca="0">COUNTIF(建筑配方!$M$4:$M$118,B72)+COUNTIF(建筑配方!$N$4:$N$118,B72)</x:f>
        <x:v>9</x:v>
      </x:c>
      <x:c r="M72" s="10" t="n">
        <x:f aca="0">SUMPRODUCT(--(建筑配方!$G$4:$L$118=B72))</x:f>
        <x:v>2</x:v>
      </x:c>
      <x:c r="N72" s="10" t="str">
        <x:f aca="0">IF(AND(D72&lt;&gt;"原料",D72&lt;&gt;"燃料能源",L72=0),"⚠ 无来源",IF(AND(D72="日常用品",OR(F72="",H72="")),"⚠ 缺作用维度或问题来源",IF(OR(D72="大件",D72="日常用品",D72="服务品",D72="基础设施",D72="副产",D72="燃料能源",D72="金融品"),"OK",IF(M72=0,"⚠ 无去向","OK"))))</x:f>
        <x:v>OK</x:v>
      </x:c>
    </x:row>
    <x:row r="73" ht="15" hidden="0">
      <x:c r="A73" s="10" t="str">
        <x:v>I080</x:v>
      </x:c>
      <x:c r="B73" s="6" t="str">
        <x:v>清水</x:v>
      </x:c>
      <x:c r="C73" s="15" t="str">
        <x:v>中世纪</x:v>
      </x:c>
      <x:c r="D73" s="76" t="str">
        <x:v>日常用品</x:v>
      </x:c>
      <x:c r="E73" s="6" t="str">
        <x:v>饮品</x:v>
      </x:c>
      <x:c r="F73" s="6" t="str">
        <x:v>健康、整洁</x:v>
      </x:c>
      <x:c r="G73" s="6" t="str">
        <x:v>饮用原水伤健康；洗浴、洗衣的前提</x:v>
      </x:c>
      <x:c r="H73" s="6" t="str">
        <x:v>生存底座</x:v>
      </x:c>
      <x:c r="I73" s="10" t="str">
        <x:v>现款</x:v>
      </x:c>
      <x:c r="J73" s="13" t="str">
        <x:v>现有</x:v>
      </x:c>
      <x:c r="K73" s="6"/>
      <x:c r="L73" s="10" t="n">
        <x:f aca="0">COUNTIF(建筑配方!$M$4:$M$118,B73)+COUNTIF(建筑配方!$N$4:$N$118,B73)</x:f>
        <x:v>2</x:v>
      </x:c>
      <x:c r="M73" s="10" t="n">
        <x:f aca="0">SUMPRODUCT(--(建筑配方!$G$4:$L$118=B73))</x:f>
        <x:v>4</x:v>
      </x:c>
      <x:c r="N73" s="10" t="str">
        <x:f aca="0">IF(AND(D73&lt;&gt;"原料",D73&lt;&gt;"燃料能源",L73=0),"⚠ 无来源",IF(AND(D73="日常用品",OR(F73="",H73="")),"⚠ 缺作用维度或问题来源",IF(OR(D73="大件",D73="日常用品",D73="服务品",D73="基础设施",D73="副产",D73="燃料能源",D73="金融品"),"OK",IF(M73=0,"⚠ 无去向","OK"))))</x:f>
        <x:v>OK</x:v>
      </x:c>
    </x:row>
    <x:row r="74" ht="15" hidden="0">
      <x:c r="A74" s="10" t="str">
        <x:v>I081</x:v>
      </x:c>
      <x:c r="B74" s="6" t="str">
        <x:v>麦酒</x:v>
      </x:c>
      <x:c r="C74" s="15" t="str">
        <x:v>中世纪</x:v>
      </x:c>
      <x:c r="D74" s="76" t="str">
        <x:v>日常用品</x:v>
      </x:c>
      <x:c r="E74" s="6" t="str">
        <x:v>饮品</x:v>
      </x:c>
      <x:c r="F74" s="6" t="str">
        <x:v>心情、健康</x:v>
      </x:c>
      <x:c r="G74" s="6" t="str">
        <x:v>享受要付代价：心情提升，但长期伤健康、短期降低效率</x:v>
      </x:c>
      <x:c r="H74" s="6" t="str">
        <x:v>享受的副作用</x:v>
      </x:c>
      <x:c r="I74" s="10" t="str">
        <x:v>现款</x:v>
      </x:c>
      <x:c r="J74" s="13" t="str">
        <x:v>新增</x:v>
      </x:c>
      <x:c r="K74" s="6"/>
      <x:c r="L74" s="10" t="n">
        <x:f aca="0">COUNTIF(建筑配方!$M$4:$M$118,B74)+COUNTIF(建筑配方!$N$4:$N$118,B74)</x:f>
        <x:v>1</x:v>
      </x:c>
      <x:c r="M74" s="10" t="n">
        <x:f aca="0">SUMPRODUCT(--(建筑配方!$G$4:$L$118=B74))</x:f>
        <x:v>0</x:v>
      </x:c>
      <x:c r="N74" s="10" t="str">
        <x:f aca="0">IF(AND(D74&lt;&gt;"原料",D74&lt;&gt;"燃料能源",L74=0),"⚠ 无来源",IF(AND(D74="日常用品",OR(F74="",H74="")),"⚠ 缺作用维度或问题来源",IF(OR(D74="大件",D74="日常用品",D74="服务品",D74="基础设施",D74="副产",D74="燃料能源",D74="金融品"),"OK",IF(M74=0,"⚠ 无去向","OK"))))</x:f>
        <x:v>OK</x:v>
      </x:c>
    </x:row>
    <x:row r="75" ht="29.850000381469727" hidden="0">
      <x:c r="A75" s="10" t="str">
        <x:v>I082</x:v>
      </x:c>
      <x:c r="B75" s="6" t="str">
        <x:v>速食</x:v>
      </x:c>
      <x:c r="C75" s="11" t="str">
        <x:v>现代</x:v>
      </x:c>
      <x:c r="D75" s="76" t="str">
        <x:v>日常用品</x:v>
      </x:c>
      <x:c r="E75" s="6" t="str">
        <x:v>食物</x:v>
      </x:c>
      <x:c r="F75" s="6" t="str">
        <x:v>时间、饥饿</x:v>
      </x:c>
      <x:c r="G75" s="6" t="str">
        <x:v>用钱买时间；但进食极快，丢掉食堂“吃饭即休息”的疲劳恢复</x:v>
      </x:c>
      <x:c r="H75" s="21" t="str">
        <x:v>时间预算</x:v>
      </x:c>
      <x:c r="I75" s="13" t="str">
        <x:v>现款</x:v>
      </x:c>
      <x:c r="J75" s="13" t="str">
        <x:v>新增</x:v>
      </x:c>
      <x:c r="K75" s="6"/>
      <x:c r="L75" s="10" t="n">
        <x:f aca="0">COUNTIF(建筑配方!$M$4:$M$118,B75)+COUNTIF(建筑配方!$N$4:$N$118,B75)</x:f>
        <x:v>1</x:v>
      </x:c>
      <x:c r="M75" s="10" t="n">
        <x:f aca="0">SUMPRODUCT(--(建筑配方!$G$4:$L$118=B75))</x:f>
        <x:v>0</x:v>
      </x:c>
      <x:c r="N75" s="10" t="str">
        <x:f aca="0">IF(AND(D75&lt;&gt;"原料",D75&lt;&gt;"燃料能源",L75=0),"⚠ 无来源",IF(AND(D75="日常用品",OR(F75="",H75="")),"⚠ 缺作用维度或问题来源",IF(OR(D75="大件",D75="日常用品",D75="服务品",D75="基础设施",D75="副产",D75="燃料能源",D75="金融品"),"OK",IF(M75=0,"⚠ 无去向","OK"))))</x:f>
        <x:v>OK</x:v>
      </x:c>
    </x:row>
    <x:row r="76" ht="29.850000381469727" hidden="0">
      <x:c r="A76" s="10" t="str">
        <x:v>I083</x:v>
      </x:c>
      <x:c r="B76" s="6" t="str">
        <x:v>衣物</x:v>
      </x:c>
      <x:c r="C76" s="14" t="str">
        <x:v>中世纪</x:v>
      </x:c>
      <x:c r="D76" s="76" t="str">
        <x:v>日常用品</x:v>
      </x:c>
      <x:c r="E76" s="6" t="str">
        <x:v>衣物</x:v>
      </x:c>
      <x:c r="F76" s="6" t="str">
        <x:v>心情、整洁</x:v>
      </x:c>
      <x:c r="G76" s="6" t="str">
        <x:v>满足穿衣与心情需求；穿久会脏，工业化服装工厂可用更高效率生产同类衣物。</x:v>
      </x:c>
      <x:c r="H76" s="21" t="str">
        <x:v>衣物 → 整洁</x:v>
      </x:c>
      <x:c r="I76" s="13" t="str">
        <x:v>现款</x:v>
      </x:c>
      <x:c r="J76" s="13" t="str">
        <x:v>新增</x:v>
      </x:c>
      <x:c r="K76" s="6" t="str">
        <x:v>裁缝铺与成衣厂共用“衣物”产物；不再用物品名区分耐穿程度。</x:v>
      </x:c>
      <x:c r="L76" s="10" t="n">
        <x:f aca="0">COUNTIF(建筑配方!$M$4:$M$118,B76)+COUNTIF(建筑配方!$N$4:$N$118,B76)</x:f>
        <x:v>2</x:v>
      </x:c>
      <x:c r="M76" s="10" t="n">
        <x:f aca="0">SUMPRODUCT(--(建筑配方!$G$4:$L$118=B76))</x:f>
        <x:v>0</x:v>
      </x:c>
      <x:c r="N76" s="10" t="str">
        <x:f aca="0">IF(AND(D76&lt;&gt;"原料",D76&lt;&gt;"燃料能源",L76=0),"⚠ 无来源",IF(AND(D76="日常用品",OR(F76="",H76="")),"⚠ 缺作用维度或问题来源",IF(OR(D76="大件",D76="日常用品",D76="服务品",D76="基础设施",D76="副产",D76="燃料能源",D76="金融品"),"OK",IF(M76=0,"⚠ 无去向","OK"))))</x:f>
        <x:v>OK</x:v>
      </x:c>
    </x:row>
    <x:row r="77" ht="29.850000381469727" hidden="0">
      <x:c r="A77" s="10" t="str">
        <x:v>I085</x:v>
      </x:c>
      <x:c r="B77" s="6" t="str">
        <x:v>清洁用品</x:v>
      </x:c>
      <x:c r="C77" s="15" t="str">
        <x:v>工业化</x:v>
      </x:c>
      <x:c r="D77" s="76" t="str">
        <x:v>日常用品</x:v>
      </x:c>
      <x:c r="E77" s="6" t="str">
        <x:v>清洁</x:v>
      </x:c>
      <x:c r="F77" s="6" t="str">
        <x:v>整洁</x:v>
      </x:c>
      <x:c r="G77" s="6" t="str">
        <x:v>用于身体、住宅和衣物清洁；可供澡堂、住宅与洗衣机消耗。</x:v>
      </x:c>
      <x:c r="H77" s="21" t="str">
        <x:v>脏污岗位、砖房、混凝土公寓、澡堂、洗衣机</x:v>
      </x:c>
      <x:c r="I77" s="13" t="str">
        <x:v>现款</x:v>
      </x:c>
      <x:c r="J77" s="13" t="str">
        <x:v>新增</x:v>
      </x:c>
      <x:c r="K77" s="6" t="str">
        <x:v>合并肥皂与洗衣液，取消洗衣液专属生产配方。</x:v>
      </x:c>
      <x:c r="L77" s="10" t="n">
        <x:f aca="0">COUNTIF(建筑配方!$M$4:$M$118,B77)+COUNTIF(建筑配方!$N$4:$N$118,B77)</x:f>
        <x:v>1</x:v>
      </x:c>
      <x:c r="M77" s="10" t="n">
        <x:f aca="0">SUMPRODUCT(--(建筑配方!$G$4:$L$118=B77))</x:f>
        <x:v>4</x:v>
      </x:c>
      <x:c r="N77" s="10" t="str">
        <x:f aca="0">IF(AND(D77&lt;&gt;"原料",D77&lt;&gt;"燃料能源",L77=0),"⚠ 无来源",IF(AND(D77="日常用品",OR(F77="",H77="")),"⚠ 缺作用维度或问题来源",IF(OR(D77="大件",D77="日常用品",D77="服务品",D77="基础设施",D77="副产",D77="燃料能源",D77="金融品"),"OK",IF(M77=0,"⚠ 无去向","OK"))))</x:f>
        <x:v>OK</x:v>
      </x:c>
    </x:row>
    <x:row r="78" ht="29.850000381469727" hidden="0">
      <x:c r="A78" s="10" t="str">
        <x:v>I087</x:v>
      </x:c>
      <x:c r="B78" s="6" t="str">
        <x:v>医疗用品</x:v>
      </x:c>
      <x:c r="C78" s="15" t="str">
        <x:v>工业化</x:v>
      </x:c>
      <x:c r="D78" s="76" t="str">
        <x:v>日常用品</x:v>
      </x:c>
      <x:c r="E78" s="6" t="str">
        <x:v>医疗</x:v>
      </x:c>
      <x:c r="F78" s="6" t="str">
        <x:v>健康</x:v>
      </x:c>
      <x:c r="G78" s="6" t="str">
        <x:v>用于诊疗、长期健康损耗与突发工伤处理。</x:v>
      </x:c>
      <x:c r="H78" s="21" t="str">
        <x:v>健康损耗、工伤岗位</x:v>
      </x:c>
      <x:c r="I78" s="13" t="str">
        <x:v>现款</x:v>
      </x:c>
      <x:c r="J78" s="13" t="str">
        <x:v>新增</x:v>
      </x:c>
      <x:c r="K78" s="6" t="str">
        <x:v>合并药品与急救包，诊疗统一消耗医疗用品。</x:v>
      </x:c>
      <x:c r="L78" s="10" t="n">
        <x:f aca="0">COUNTIF(建筑配方!$M$4:$M$118,B78)+COUNTIF(建筑配方!$N$4:$N$118,B78)</x:f>
        <x:v>1</x:v>
      </x:c>
      <x:c r="M78" s="10" t="n">
        <x:f aca="0">SUMPRODUCT(--(建筑配方!$G$4:$L$118=B78))</x:f>
        <x:v>1</x:v>
      </x:c>
      <x:c r="N78" s="10" t="str">
        <x:f aca="0">IF(AND(D78&lt;&gt;"原料",D78&lt;&gt;"燃料能源",L78=0),"⚠ 无来源",IF(AND(D78="日常用品",OR(F78="",H78="")),"⚠ 缺作用维度或问题来源",IF(OR(D78="大件",D78="日常用品",D78="服务品",D78="基础设施",D78="副产",D78="燃料能源",D78="金融品"),"OK",IF(M78=0,"⚠ 无去向","OK"))))</x:f>
        <x:v>OK</x:v>
      </x:c>
    </x:row>
    <x:row r="79" ht="29.850000381469727" hidden="0">
      <x:c r="A79" s="10" t="str">
        <x:v>I089</x:v>
      </x:c>
      <x:c r="B79" s="6" t="str">
        <x:v>劳保用品</x:v>
      </x:c>
      <x:c r="C79" s="15" t="str">
        <x:v>现代</x:v>
      </x:c>
      <x:c r="D79" s="76" t="str">
        <x:v>日常用品</x:v>
      </x:c>
      <x:c r="E79" s="6" t="str">
        <x:v>劳保</x:v>
      </x:c>
      <x:c r="F79" s="6" t="str">
        <x:v>健康（防护）</x:v>
      </x:c>
      <x:c r="G79" s="6" t="str">
        <x:v>减轻粉尘、废气、化学品和机械摩擦造成的健康损耗。</x:v>
      </x:c>
      <x:c r="H79" s="21" t="str">
        <x:v>汽车、煤堆、高炉、化工与机械岗位</x:v>
      </x:c>
      <x:c r="I79" s="13" t="str">
        <x:v>现款</x:v>
      </x:c>
      <x:c r="J79" s="13" t="str">
        <x:v>新增</x:v>
      </x:c>
      <x:c r="K79" s="6" t="str">
        <x:v>合并口罩与手套，作为一般劳动防护消耗品。</x:v>
      </x:c>
      <x:c r="L79" s="10" t="n">
        <x:f aca="0">COUNTIF(建筑配方!$M$4:$M$118,B79)+COUNTIF(建筑配方!$N$4:$N$118,B79)</x:f>
        <x:v>1</x:v>
      </x:c>
      <x:c r="M79" s="10" t="n">
        <x:f aca="0">SUMPRODUCT(--(建筑配方!$G$4:$L$118=B79))</x:f>
        <x:v>0</x:v>
      </x:c>
      <x:c r="N79" s="10" t="str">
        <x:f aca="0">IF(AND(D79&lt;&gt;"原料",D79&lt;&gt;"燃料能源",L79=0),"⚠ 无来源",IF(AND(D79="日常用品",OR(F79="",H79="")),"⚠ 缺作用维度或问题来源",IF(OR(D79="大件",D79="日常用品",D79="服务品",D79="基础设施",D79="副产",D79="燃料能源",D79="金融品"),"OK",IF(M79=0,"⚠ 无去向","OK"))))</x:f>
        <x:v>OK</x:v>
      </x:c>
    </x:row>
    <x:row r="80" ht="29.850000381469727" hidden="0">
      <x:c r="A80" s="10" t="str">
        <x:v>I091</x:v>
      </x:c>
      <x:c r="B80" s="6" t="str">
        <x:v>安全装备</x:v>
      </x:c>
      <x:c r="C80" s="15" t="str">
        <x:v>现代</x:v>
      </x:c>
      <x:c r="D80" s="76" t="str">
        <x:v>日常用品</x:v>
      </x:c>
      <x:c r="E80" s="6" t="str">
        <x:v>劳保</x:v>
      </x:c>
      <x:c r="F80" s="6" t="str">
        <x:v>健康（防护）</x:v>
      </x:c>
      <x:c r="G80" s="6" t="str">
        <x:v>矿山、建筑、重工业岗位的坠落、砸伤、烫伤防护。</x:v>
      </x:c>
      <x:c r="H80" s="21" t="str">
        <x:v>矿山、建筑与重工业岗位</x:v>
      </x:c>
      <x:c r="I80" s="13" t="str">
        <x:v>现款</x:v>
      </x:c>
      <x:c r="J80" s="13" t="str">
        <x:v>新增</x:v>
      </x:c>
      <x:c r="K80" s="6" t="str">
        <x:v>合并安全帽与劳保鞋，作为重工业安全防护装备。</x:v>
      </x:c>
      <x:c r="L80" s="10" t="n">
        <x:f aca="0">COUNTIF(建筑配方!$M$4:$M$118,B80)+COUNTIF(建筑配方!$N$4:$N$118,B80)</x:f>
        <x:v>1</x:v>
      </x:c>
      <x:c r="M80" s="10" t="n">
        <x:f aca="0">SUMPRODUCT(--(建筑配方!$G$4:$L$118=B80))</x:f>
        <x:v>0</x:v>
      </x:c>
      <x:c r="N80" s="10" t="str">
        <x:f aca="0">IF(AND(D80&lt;&gt;"原料",D80&lt;&gt;"燃料能源",L80=0),"⚠ 无来源",IF(AND(D80="日常用品",OR(F80="",H80="")),"⚠ 缺作用维度或问题来源",IF(OR(D80="大件",D80="日常用品",D80="服务品",D80="基础设施",D80="副产",D80="燃料能源",D80="金融品"),"OK",IF(M80=0,"⚠ 无去向","OK"))))</x:f>
        <x:v>OK</x:v>
      </x:c>
    </x:row>
    <x:row r="81" ht="29.850000381469727" hidden="0">
      <x:c r="A81" s="10" t="str">
        <x:v>I093</x:v>
      </x:c>
      <x:c r="B81" s="6" t="str">
        <x:v>灯泡</x:v>
      </x:c>
      <x:c r="C81" s="15" t="str">
        <x:v>工业化</x:v>
      </x:c>
      <x:c r="D81" s="76" t="str">
        <x:v>日常用品</x:v>
      </x:c>
      <x:c r="E81" s="6" t="str">
        <x:v>备件</x:v>
      </x:c>
      <x:c r="F81" s="6" t="str">
        <x:v>耐久（备件）</x:v>
      </x:c>
      <x:c r="G81" s="6" t="str">
        <x:v>灯泡有寿命，坏了就黑</x:v>
      </x:c>
      <x:c r="H81" s="21" t="str">
        <x:v>砖房、混凝土公寓</x:v>
      </x:c>
      <x:c r="I81" s="13" t="str">
        <x:v>现款</x:v>
      </x:c>
      <x:c r="J81" s="13" t="str">
        <x:v>新增</x:v>
      </x:c>
      <x:c r="K81" s="6"/>
      <x:c r="L81" s="10" t="n">
        <x:f aca="0">COUNTIF(建筑配方!$M$4:$M$118,B81)+COUNTIF(建筑配方!$N$4:$N$118,B81)</x:f>
        <x:v>1</x:v>
      </x:c>
      <x:c r="M81" s="10" t="n">
        <x:f aca="0">SUMPRODUCT(--(建筑配方!$G$4:$L$118=B81))</x:f>
        <x:v>2</x:v>
      </x:c>
      <x:c r="N81" s="10" t="str">
        <x:f aca="0">IF(AND(D81&lt;&gt;"原料",D81&lt;&gt;"燃料能源",L81=0),"⚠ 无来源",IF(AND(D81="日常用品",OR(F81="",H81="")),"⚠ 缺作用维度或问题来源",IF(OR(D81="大件",D81="日常用品",D81="服务品",D81="基础设施",D81="副产",D81="燃料能源",D81="金融品"),"OK",IF(M81=0,"⚠ 无去向","OK"))))</x:f>
        <x:v>OK</x:v>
      </x:c>
    </x:row>
    <x:row r="82" ht="15" hidden="0">
      <x:c r="A82" s="10" t="str">
        <x:v>I094</x:v>
      </x:c>
      <x:c r="B82" s="6" t="str">
        <x:v>食品盒</x:v>
      </x:c>
      <x:c r="C82" s="11" t="str">
        <x:v>现代</x:v>
      </x:c>
      <x:c r="D82" s="76" t="str">
        <x:v>日常用品</x:v>
      </x:c>
      <x:c r="E82" s="6" t="str">
        <x:v>储存</x:v>
      </x:c>
      <x:c r="F82" s="6" t="str">
        <x:v>保鲜</x:v>
      </x:c>
      <x:c r="G82" s="6" t="str">
        <x:v>延缓腐烂，是没有冰箱家庭的低配替代</x:v>
      </x:c>
      <x:c r="H82" s="6" t="str">
        <x:v>冰箱（无冰箱家庭）</x:v>
      </x:c>
      <x:c r="I82" s="13" t="str">
        <x:v>现款</x:v>
      </x:c>
      <x:c r="J82" s="13" t="str">
        <x:v>新增</x:v>
      </x:c>
      <x:c r="K82" s="21"/>
      <x:c r="L82" s="10" t="n">
        <x:f aca="0">COUNTIF(建筑配方!$M$4:$M$118,B82)+COUNTIF(建筑配方!$N$4:$N$118,B82)</x:f>
        <x:v>1</x:v>
      </x:c>
      <x:c r="M82" s="10" t="n">
        <x:f aca="0">SUMPRODUCT(--(建筑配方!$G$4:$L$118=B82))</x:f>
        <x:v>0</x:v>
      </x:c>
      <x:c r="N82" s="10" t="str">
        <x:f aca="0">IF(AND(D82&lt;&gt;"原料",D82&lt;&gt;"燃料能源",L82=0),"⚠ 无来源",IF(AND(D82="日常用品",OR(F82="",H82="")),"⚠ 缺作用维度或问题来源",IF(OR(D82="大件",D82="日常用品",D82="服务品",D82="基础设施",D82="副产",D82="燃料能源",D82="金融品"),"OK",IF(M82=0,"⚠ 无去向","OK"))))</x:f>
        <x:v>OK</x:v>
      </x:c>
    </x:row>
    <x:row r="83" ht="15" hidden="0">
      <x:c r="A83" s="10" t="str">
        <x:v>I095</x:v>
      </x:c>
      <x:c r="B83" s="6" t="str">
        <x:v>家具</x:v>
      </x:c>
      <x:c r="C83" s="11" t="str">
        <x:v>中世纪</x:v>
      </x:c>
      <x:c r="D83" s="76" t="str">
        <x:v>日常用品</x:v>
      </x:c>
      <x:c r="E83" s="6" t="str">
        <x:v>配套</x:v>
      </x:c>
      <x:c r="F83" s="6" t="str">
        <x:v>疲劳</x:v>
      </x:c>
      <x:c r="G83" s="6" t="str">
        <x:v>家中用餐与休息也能恢复疲劳（同食堂），减少对食堂的依赖</x:v>
      </x:c>
      <x:c r="H83" s="6" t="str">
        <x:v>砂岩屋、砖房、混凝土公寓</x:v>
      </x:c>
      <x:c r="I83" s="13" t="str">
        <x:v>现款</x:v>
      </x:c>
      <x:c r="J83" s="13" t="str">
        <x:v>新增</x:v>
      </x:c>
      <x:c r="K83" s="21"/>
      <x:c r="L83" s="10" t="n">
        <x:f aca="0">COUNTIF(建筑配方!$M$4:$M$118,B83)+COUNTIF(建筑配方!$N$4:$N$118,B83)</x:f>
        <x:v>1</x:v>
      </x:c>
      <x:c r="M83" s="10" t="n">
        <x:f aca="0">SUMPRODUCT(--(建筑配方!$G$4:$L$118=B83))</x:f>
        <x:v>0</x:v>
      </x:c>
      <x:c r="N83" s="10" t="str">
        <x:f aca="0">IF(AND(D83&lt;&gt;"原料",D83&lt;&gt;"燃料能源",L83=0),"⚠ 无来源",IF(AND(D83="日常用品",OR(F83="",H83="")),"⚠ 缺作用维度或问题来源",IF(OR(D83="大件",D83="日常用品",D83="服务品",D83="基础设施",D83="副产",D83="燃料能源",D83="金融品"),"OK",IF(M83=0,"⚠ 无去向","OK"))))</x:f>
        <x:v>OK</x:v>
      </x:c>
    </x:row>
    <x:row r="84" ht="29.850000381469727" hidden="0">
      <x:c r="A84" s="10" t="str">
        <x:v>I096</x:v>
      </x:c>
      <x:c r="B84" s="6" t="str">
        <x:v>寝具</x:v>
      </x:c>
      <x:c r="C84" s="11" t="str">
        <x:v>中世纪</x:v>
      </x:c>
      <x:c r="D84" s="76" t="str">
        <x:v>日常用品</x:v>
      </x:c>
      <x:c r="E84" s="6" t="str">
        <x:v>配套</x:v>
      </x:c>
      <x:c r="F84" s="6" t="str">
        <x:v>疲劳</x:v>
      </x:c>
      <x:c r="G84" s="6" t="str">
        <x:v>提高睡眠恢复量</x:v>
      </x:c>
      <x:c r="H84" s="6" t="str">
        <x:v>砂岩屋、砖房、混凝土公寓</x:v>
      </x:c>
      <x:c r="I84" s="13" t="str">
        <x:v>现款</x:v>
      </x:c>
      <x:c r="J84" s="13" t="str">
        <x:v>新增</x:v>
      </x:c>
      <x:c r="K84" s="21"/>
      <x:c r="L84" s="10" t="n">
        <x:f aca="0">COUNTIF(建筑配方!$M$4:$M$118,B84)+COUNTIF(建筑配方!$N$4:$N$118,B84)</x:f>
        <x:v>1</x:v>
      </x:c>
      <x:c r="M84" s="10" t="n">
        <x:f aca="0">SUMPRODUCT(--(建筑配方!$G$4:$L$118=B84))</x:f>
        <x:v>0</x:v>
      </x:c>
      <x:c r="N84" s="10" t="str">
        <x:f aca="0">IF(AND(D84&lt;&gt;"原料",D84&lt;&gt;"燃料能源",L84=0),"⚠ 无来源",IF(AND(D84="日常用品",OR(F84="",H84="")),"⚠ 缺作用维度或问题来源",IF(OR(D84="大件",D84="日常用品",D84="服务品",D84="基础设施",D84="副产",D84="燃料能源",D84="金融品"),"OK",IF(M84=0,"⚠ 无去向","OK"))))</x:f>
        <x:v>OK</x:v>
      </x:c>
    </x:row>
    <x:row r="85" ht="29.850000381469727" hidden="0">
      <x:c r="A85" s="10" t="str">
        <x:v>I097</x:v>
      </x:c>
      <x:c r="B85" s="6" t="str">
        <x:v>铁工具</x:v>
      </x:c>
      <x:c r="C85" s="15" t="str">
        <x:v>中世纪</x:v>
      </x:c>
      <x:c r="D85" s="76" t="str">
        <x:v>日常用品</x:v>
      </x:c>
      <x:c r="E85" s="6" t="str">
        <x:v>工具</x:v>
      </x:c>
      <x:c r="F85" s="6" t="str">
        <x:v>时薪</x:v>
      </x:c>
      <x:c r="G85" s="6" t="str">
        <x:v>农田、加工岗位的时薪提升；会磨损</x:v>
      </x:c>
      <x:c r="H85" s="6" t="str">
        <x:v>工作</x:v>
      </x:c>
      <x:c r="I85" s="13" t="str">
        <x:v>现款</x:v>
      </x:c>
      <x:c r="J85" s="13" t="str">
        <x:v>新增</x:v>
      </x:c>
      <x:c r="K85" s="21"/>
      <x:c r="L85" s="10" t="n">
        <x:f aca="0">COUNTIF(建筑配方!$M$4:$M$118,B85)+COUNTIF(建筑配方!$N$4:$N$118,B85)</x:f>
        <x:v>1</x:v>
      </x:c>
      <x:c r="M85" s="10" t="n">
        <x:f aca="0">SUMPRODUCT(--(建筑配方!$G$4:$L$118=B85))</x:f>
        <x:v>0</x:v>
      </x:c>
      <x:c r="N85" s="10" t="str">
        <x:f aca="0">IF(AND(D85&lt;&gt;"原料",D85&lt;&gt;"燃料能源",L85=0),"⚠ 无来源",IF(AND(D85="日常用品",OR(F85="",H85="")),"⚠ 缺作用维度或问题来源",IF(OR(D85="大件",D85="日常用品",D85="服务品",D85="基础设施",D85="副产",D85="燃料能源",D85="金融品"),"OK",IF(M85=0,"⚠ 无去向","OK"))))</x:f>
        <x:v>OK</x:v>
      </x:c>
    </x:row>
    <x:row r="86" ht="29.850000381469727" hidden="0">
      <x:c r="A86" s="10" t="str">
        <x:v>I098</x:v>
      </x:c>
      <x:c r="B86" s="6" t="str">
        <x:v>机械工具</x:v>
      </x:c>
      <x:c r="C86" s="11" t="str">
        <x:v>工业化</x:v>
      </x:c>
      <x:c r="D86" s="76" t="str">
        <x:v>日常用品</x:v>
      </x:c>
      <x:c r="E86" s="6" t="str">
        <x:v>工具</x:v>
      </x:c>
      <x:c r="F86" s="6" t="str">
        <x:v>时薪、耐久</x:v>
      </x:c>
      <x:c r="G86" s="6" t="str">
        <x:v>时薪更高，但需要润滑油保养</x:v>
      </x:c>
      <x:c r="H86" s="6" t="str">
        <x:v>工作</x:v>
      </x:c>
      <x:c r="I86" s="13" t="str">
        <x:v>现款</x:v>
      </x:c>
      <x:c r="J86" s="13" t="str">
        <x:v>新增</x:v>
      </x:c>
      <x:c r="K86" s="21"/>
      <x:c r="L86" s="10" t="n">
        <x:f aca="0">COUNTIF(建筑配方!$M$4:$M$118,B86)+COUNTIF(建筑配方!$N$4:$N$118,B86)</x:f>
        <x:v>1</x:v>
      </x:c>
      <x:c r="M86" s="10" t="n">
        <x:f aca="0">SUMPRODUCT(--(建筑配方!$G$4:$L$118=B86))</x:f>
        <x:v>0</x:v>
      </x:c>
      <x:c r="N86" s="10" t="str">
        <x:f aca="0">IF(AND(D86&lt;&gt;"原料",D86&lt;&gt;"燃料能源",L86=0),"⚠ 无来源",IF(AND(D86="日常用品",OR(F86="",H86="")),"⚠ 缺作用维度或问题来源",IF(OR(D86="大件",D86="日常用品",D86="服务品",D86="基础设施",D86="副产",D86="燃料能源",D86="金融品"),"OK",IF(M86=0,"⚠ 无去向","OK"))))</x:f>
        <x:v>OK</x:v>
      </x:c>
    </x:row>
    <x:row r="87" ht="15" hidden="0">
      <x:c r="A87" s="10" t="str">
        <x:v>I099</x:v>
      </x:c>
      <x:c r="B87" s="6" t="str">
        <x:v>电动工具</x:v>
      </x:c>
      <x:c r="C87" s="14" t="str">
        <x:v>现代</x:v>
      </x:c>
      <x:c r="D87" s="76" t="str">
        <x:v>日常用品</x:v>
      </x:c>
      <x:c r="E87" s="6" t="str">
        <x:v>工具</x:v>
      </x:c>
      <x:c r="F87" s="6" t="str">
        <x:v>时薪</x:v>
      </x:c>
      <x:c r="G87" s="6" t="str">
        <x:v>时薪最高；需要电</x:v>
      </x:c>
      <x:c r="H87" s="6" t="str">
        <x:v>工作</x:v>
      </x:c>
      <x:c r="I87" s="13" t="str">
        <x:v>现款</x:v>
      </x:c>
      <x:c r="J87" s="13" t="str">
        <x:v>新增</x:v>
      </x:c>
      <x:c r="K87" s="21"/>
      <x:c r="L87" s="10" t="n">
        <x:f aca="0">COUNTIF(建筑配方!$M$4:$M$118,B87)+COUNTIF(建筑配方!$N$4:$N$118,B87)</x:f>
        <x:v>1</x:v>
      </x:c>
      <x:c r="M87" s="10" t="n">
        <x:f aca="0">SUMPRODUCT(--(建筑配方!$G$4:$L$118=B87))</x:f>
        <x:v>0</x:v>
      </x:c>
      <x:c r="N87" s="10" t="str">
        <x:f aca="0">IF(AND(D87&lt;&gt;"原料",D87&lt;&gt;"燃料能源",L87=0),"⚠ 无来源",IF(AND(D87="日常用品",OR(F87="",H87="")),"⚠ 缺作用维度或问题来源",IF(OR(D87="大件",D87="日常用品",D87="服务品",D87="基础设施",D87="副产",D87="燃料能源",D87="金融品"),"OK",IF(M87=0,"⚠ 无去向","OK"))))</x:f>
        <x:v>OK</x:v>
      </x:c>
    </x:row>
    <x:row r="88" ht="29.850000381469727" hidden="0">
      <x:c r="A88" s="10" t="str">
        <x:v>I100</x:v>
      </x:c>
      <x:c r="B88" s="6" t="str">
        <x:v>矿枪</x:v>
      </x:c>
      <x:c r="C88" s="14" t="str">
        <x:v>中世纪</x:v>
      </x:c>
      <x:c r="D88" s="76" t="str">
        <x:v>日常用品</x:v>
      </x:c>
      <x:c r="E88" s="6" t="str">
        <x:v>工具</x:v>
      </x:c>
      <x:c r="F88" s="6" t="str">
        <x:v>时薪</x:v>
      </x:c>
      <x:c r="G88" s="6" t="str">
        <x:v>采矿；使用时持续消耗铜</x:v>
      </x:c>
      <x:c r="H88" s="6" t="str">
        <x:v>工作</x:v>
      </x:c>
      <x:c r="I88" s="13" t="str">
        <x:v>现款</x:v>
      </x:c>
      <x:c r="J88" s="13" t="str">
        <x:v>现有</x:v>
      </x:c>
      <x:c r="K88" s="21"/>
      <x:c r="L88" s="10" t="n">
        <x:f aca="0">COUNTIF(建筑配方!$M$4:$M$118,B88)+COUNTIF(建筑配方!$N$4:$N$118,B88)</x:f>
        <x:v>1</x:v>
      </x:c>
      <x:c r="M88" s="10" t="n">
        <x:f aca="0">SUMPRODUCT(--(建筑配方!$G$4:$L$118=B88))</x:f>
        <x:v>0</x:v>
      </x:c>
      <x:c r="N88" s="10" t="str">
        <x:f aca="0">IF(AND(D88&lt;&gt;"原料",D88&lt;&gt;"燃料能源",L88=0),"⚠ 无来源",IF(AND(D88="日常用品",OR(F88="",H88="")),"⚠ 缺作用维度或问题来源",IF(OR(D88="大件",D88="日常用品",D88="服务品",D88="基础设施",D88="副产",D88="燃料能源",D88="金融品"),"OK",IF(M88=0,"⚠ 无去向","OK"))))</x:f>
        <x:v>OK</x:v>
      </x:c>
    </x:row>
    <x:row r="89" ht="15" hidden="0">
      <x:c r="A89" s="10" t="str">
        <x:v>I101</x:v>
      </x:c>
      <x:c r="B89" s="6" t="str">
        <x:v>背包</x:v>
      </x:c>
      <x:c r="C89" s="15" t="str">
        <x:v>中世纪</x:v>
      </x:c>
      <x:c r="D89" s="76" t="str">
        <x:v>日常用品</x:v>
      </x:c>
      <x:c r="E89" s="6" t="str">
        <x:v>工具</x:v>
      </x:c>
      <x:c r="F89" s="6" t="str">
        <x:v>携带</x:v>
      </x:c>
      <x:c r="G89" s="6" t="str">
        <x:v>携带更多物品</x:v>
      </x:c>
      <x:c r="H89" s="6" t="str">
        <x:v>工作</x:v>
      </x:c>
      <x:c r="I89" s="13" t="str">
        <x:v>现款</x:v>
      </x:c>
      <x:c r="J89" s="13" t="str">
        <x:v>现有</x:v>
      </x:c>
      <x:c r="K89" s="21"/>
      <x:c r="L89" s="10" t="n">
        <x:f aca="0">COUNTIF(建筑配方!$M$4:$M$118,B89)+COUNTIF(建筑配方!$N$4:$N$118,B89)</x:f>
        <x:v>1</x:v>
      </x:c>
      <x:c r="M89" s="10" t="n">
        <x:f aca="0">SUMPRODUCT(--(建筑配方!$G$4:$L$118=B89))</x:f>
        <x:v>0</x:v>
      </x:c>
      <x:c r="N89" s="10" t="str">
        <x:f aca="0">IF(AND(D89&lt;&gt;"原料",D89&lt;&gt;"燃料能源",L89=0),"⚠ 无来源",IF(AND(D89="日常用品",OR(F89="",H89="")),"⚠ 缺作用维度或问题来源",IF(OR(D89="大件",D89="日常用品",D89="服务品",D89="基础设施",D89="副产",D89="燃料能源",D89="金融品"),"OK",IF(M89=0,"⚠ 无去向","OK"))))</x:f>
        <x:v>OK</x:v>
      </x:c>
    </x:row>
    <x:row r="90" ht="15" hidden="0">
      <x:c r="A90" s="10" t="str">
        <x:v>I102</x:v>
      </x:c>
      <x:c r="B90" s="6" t="str">
        <x:v>燃油</x:v>
      </x:c>
      <x:c r="C90" s="14" t="str">
        <x:v>现代</x:v>
      </x:c>
      <x:c r="D90" s="76" t="str">
        <x:v>日常用品</x:v>
      </x:c>
      <x:c r="E90" s="6" t="str">
        <x:v>能源耗材</x:v>
      </x:c>
      <x:c r="F90" s="6" t="str">
        <x:v>能源</x:v>
      </x:c>
      <x:c r="G90" s="6" t="str">
        <x:v>汽车行驶的持续消耗</x:v>
      </x:c>
      <x:c r="H90" s="6" t="str">
        <x:v>汽车</x:v>
      </x:c>
      <x:c r="I90" s="13" t="str">
        <x:v>现款</x:v>
      </x:c>
      <x:c r="J90" s="13" t="str">
        <x:v>新增</x:v>
      </x:c>
      <x:c r="K90" s="21"/>
      <x:c r="L90" s="10" t="n">
        <x:f aca="0">COUNTIF(建筑配方!$M$4:$M$118,B90)+COUNTIF(建筑配方!$N$4:$N$118,B90)</x:f>
        <x:v>1</x:v>
      </x:c>
      <x:c r="M90" s="10" t="n">
        <x:f aca="0">SUMPRODUCT(--(建筑配方!$G$4:$L$118=B90))</x:f>
        <x:v>2</x:v>
      </x:c>
      <x:c r="N90" s="10" t="str">
        <x:f aca="0">IF(AND(D90&lt;&gt;"原料",D90&lt;&gt;"燃料能源",L90=0),"⚠ 无来源",IF(AND(D90="日常用品",OR(F90="",H90="")),"⚠ 缺作用维度或问题来源",IF(OR(D90="大件",D90="日常用品",D90="服务品",D90="基础设施",D90="副产",D90="燃料能源",D90="金融品"),"OK",IF(M90=0,"⚠ 无去向","OK"))))</x:f>
        <x:v>OK</x:v>
      </x:c>
    </x:row>
    <x:row r="91" ht="15" hidden="0">
      <x:c r="A91" s="10" t="str">
        <x:v>I103</x:v>
      </x:c>
      <x:c r="B91" s="6" t="str">
        <x:v>润滑油</x:v>
      </x:c>
      <x:c r="C91" s="14" t="str">
        <x:v>现代</x:v>
      </x:c>
      <x:c r="D91" s="76" t="str">
        <x:v>日常用品</x:v>
      </x:c>
      <x:c r="E91" s="6" t="str">
        <x:v>耗材</x:v>
      </x:c>
      <x:c r="F91" s="6" t="str">
        <x:v>耐久（减缓磨损）</x:v>
      </x:c>
      <x:c r="G91" s="6" t="str">
        <x:v>汽车、机械工具的保养耗材</x:v>
      </x:c>
      <x:c r="H91" s="6" t="str">
        <x:v>汽车、机械工具</x:v>
      </x:c>
      <x:c r="I91" s="13" t="str">
        <x:v>现款</x:v>
      </x:c>
      <x:c r="J91" s="13" t="str">
        <x:v>新增</x:v>
      </x:c>
      <x:c r="K91" s="21"/>
      <x:c r="L91" s="10" t="n">
        <x:f aca="0">COUNTIF(建筑配方!$M$4:$M$118,B91)+COUNTIF(建筑配方!$N$4:$N$118,B91)</x:f>
        <x:v>1</x:v>
      </x:c>
      <x:c r="M91" s="10" t="n">
        <x:f aca="0">SUMPRODUCT(--(建筑配方!$G$4:$L$118=B91))</x:f>
        <x:v>4</x:v>
      </x:c>
      <x:c r="N91" s="10" t="str">
        <x:f aca="0">IF(AND(D91&lt;&gt;"原料",D91&lt;&gt;"燃料能源",L91=0),"⚠ 无来源",IF(AND(D91="日常用品",OR(F91="",H91="")),"⚠ 缺作用维度或问题来源",IF(OR(D91="大件",D91="日常用品",D91="服务品",D91="基础设施",D91="副产",D91="燃料能源",D91="金融品"),"OK",IF(M91=0,"⚠ 无去向","OK"))))</x:f>
        <x:v>OK</x:v>
      </x:c>
    </x:row>
    <x:row r="92" ht="15" hidden="0">
      <x:c r="A92" s="10" t="str">
        <x:v>I104</x:v>
      </x:c>
      <x:c r="B92" s="6" t="str">
        <x:v>沐浴</x:v>
      </x:c>
      <x:c r="C92" s="15" t="str">
        <x:v>工业化</x:v>
      </x:c>
      <x:c r="D92" s="78" t="str">
        <x:v>服务品</x:v>
      </x:c>
      <x:c r="E92" s="6" t="str">
        <x:v>公共服务</x:v>
      </x:c>
      <x:c r="F92" s="6" t="str">
        <x:v>整洁、疲劳</x:v>
      </x:c>
      <x:c r="G92" s="6" t="str">
        <x:v>砂岩屋居民没有家庭洗浴设施，要到澡堂</x:v>
      </x:c>
      <x:c r="H92" s="6" t="str">
        <x:v>砂岩屋</x:v>
      </x:c>
      <x:c r="I92" s="13" t="str">
        <x:v>现款</x:v>
      </x:c>
      <x:c r="J92" s="13" t="str">
        <x:v>新增</x:v>
      </x:c>
      <x:c r="K92" s="21"/>
      <x:c r="L92" s="10" t="n">
        <x:f aca="0">COUNTIF(建筑配方!$M$4:$M$118,B92)+COUNTIF(建筑配方!$N$4:$N$118,B92)</x:f>
        <x:v>1</x:v>
      </x:c>
      <x:c r="M92" s="10" t="n">
        <x:f aca="0">SUMPRODUCT(--(建筑配方!$G$4:$L$118=B92))</x:f>
        <x:v>0</x:v>
      </x:c>
      <x:c r="N92" s="10" t="str">
        <x:f aca="0">IF(AND(D92&lt;&gt;"原料",D92&lt;&gt;"燃料能源",L92=0),"⚠ 无来源",IF(AND(D92="日常用品",OR(F92="",H92="")),"⚠ 缺作用维度或问题来源",IF(OR(D92="大件",D92="日常用品",D92="服务品",D92="基础设施",D92="副产",D92="燃料能源",D92="金融品"),"OK",IF(M92=0,"⚠ 无去向","OK"))))</x:f>
        <x:v>OK</x:v>
      </x:c>
    </x:row>
    <x:row r="93" ht="15" hidden="0">
      <x:c r="A93" s="10" t="str">
        <x:v>I105</x:v>
      </x:c>
      <x:c r="B93" s="6" t="str">
        <x:v>诊疗</x:v>
      </x:c>
      <x:c r="C93" s="15" t="str">
        <x:v>工业化</x:v>
      </x:c>
      <x:c r="D93" s="78" t="str">
        <x:v>服务品</x:v>
      </x:c>
      <x:c r="E93" s="6" t="str">
        <x:v>公共服务</x:v>
      </x:c>
      <x:c r="F93" s="6" t="str">
        <x:v>健康</x:v>
      </x:c>
      <x:c r="G93" s="6" t="str">
        <x:v>健康损耗的恢复</x:v>
      </x:c>
      <x:c r="H93" s="6" t="str">
        <x:v>健康损耗</x:v>
      </x:c>
      <x:c r="I93" s="13" t="str">
        <x:v>现款</x:v>
      </x:c>
      <x:c r="J93" s="13" t="str">
        <x:v>新增</x:v>
      </x:c>
      <x:c r="K93" s="21"/>
      <x:c r="L93" s="10" t="n">
        <x:f aca="0">COUNTIF(建筑配方!$M$4:$M$118,B93)+COUNTIF(建筑配方!$N$4:$N$118,B93)</x:f>
        <x:v>1</x:v>
      </x:c>
      <x:c r="M93" s="10" t="n">
        <x:f aca="0">SUMPRODUCT(--(建筑配方!$G$4:$L$118=B93))</x:f>
        <x:v>0</x:v>
      </x:c>
      <x:c r="N93" s="10" t="str">
        <x:f aca="0">IF(AND(D93&lt;&gt;"原料",D93&lt;&gt;"燃料能源",L93=0),"⚠ 无来源",IF(AND(D93="日常用品",OR(F93="",H93="")),"⚠ 缺作用维度或问题来源",IF(OR(D93="大件",D93="日常用品",D93="服务品",D93="基础设施",D93="副产",D93="燃料能源",D93="金融品"),"OK",IF(M93=0,"⚠ 无去向","OK"))))</x:f>
        <x:v>OK</x:v>
      </x:c>
    </x:row>
    <x:row r="94" ht="15" hidden="0">
      <x:c r="A94" s="10" t="str">
        <x:v>I106</x:v>
      </x:c>
      <x:c r="B94" s="6" t="str">
        <x:v>住所修缮</x:v>
      </x:c>
      <x:c r="C94" s="15" t="str">
        <x:v>工业化</x:v>
      </x:c>
      <x:c r="D94" s="78" t="str">
        <x:v>服务品</x:v>
      </x:c>
      <x:c r="E94" s="6" t="str">
        <x:v>维护服务</x:v>
      </x:c>
      <x:c r="F94" s="6" t="str">
        <x:v>状况</x:v>
      </x:c>
      <x:c r="G94" s="6" t="str">
        <x:v>住所老化后的修复</x:v>
      </x:c>
      <x:c r="H94" s="6" t="str">
        <x:v>砂岩屋、砖房、混凝土公寓</x:v>
      </x:c>
      <x:c r="I94" s="13" t="str">
        <x:v>现款</x:v>
      </x:c>
      <x:c r="J94" s="13" t="str">
        <x:v>新增</x:v>
      </x:c>
      <x:c r="K94" s="21"/>
      <x:c r="L94" s="10" t="n">
        <x:f aca="0">COUNTIF(建筑配方!$M$4:$M$118,B94)+COUNTIF(建筑配方!$N$4:$N$118,B94)</x:f>
        <x:v>2</x:v>
      </x:c>
      <x:c r="M94" s="10" t="n">
        <x:f aca="0">SUMPRODUCT(--(建筑配方!$G$4:$L$118=B94))</x:f>
        <x:v>0</x:v>
      </x:c>
      <x:c r="N94" s="10" t="str">
        <x:f aca="0">IF(AND(D94&lt;&gt;"原料",D94&lt;&gt;"燃料能源",L94=0),"⚠ 无来源",IF(AND(D94="日常用品",OR(F94="",H94="")),"⚠ 缺作用维度或问题来源",IF(OR(D94="大件",D94="日常用品",D94="服务品",D94="基础设施",D94="副产",D94="燃料能源",D94="金融品"),"OK",IF(M94=0,"⚠ 无去向","OK"))))</x:f>
        <x:v>OK</x:v>
      </x:c>
    </x:row>
    <x:row r="95" ht="15" hidden="0">
      <x:c r="A95" s="10" t="str">
        <x:v>I107</x:v>
      </x:c>
      <x:c r="B95" s="6" t="str">
        <x:v>汽车修理</x:v>
      </x:c>
      <x:c r="C95" s="15" t="str">
        <x:v>现代</x:v>
      </x:c>
      <x:c r="D95" s="78" t="str">
        <x:v>服务品</x:v>
      </x:c>
      <x:c r="E95" s="6" t="str">
        <x:v>维护服务</x:v>
      </x:c>
      <x:c r="F95" s="6" t="str">
        <x:v>耐久</x:v>
      </x:c>
      <x:c r="G95" s="6" t="str">
        <x:v>轮胎、蓄电池磨损后的修复</x:v>
      </x:c>
      <x:c r="H95" s="6" t="str">
        <x:v>汽车</x:v>
      </x:c>
      <x:c r="I95" s="13" t="str">
        <x:v>现款</x:v>
      </x:c>
      <x:c r="J95" s="13" t="str">
        <x:v>新增</x:v>
      </x:c>
      <x:c r="K95" s="21"/>
      <x:c r="L95" s="10" t="n">
        <x:f aca="0">COUNTIF(建筑配方!$M$4:$M$118,B95)+COUNTIF(建筑配方!$N$4:$N$118,B95)</x:f>
        <x:v>1</x:v>
      </x:c>
      <x:c r="M95" s="10" t="n">
        <x:f aca="0">SUMPRODUCT(--(建筑配方!$G$4:$L$118=B95))</x:f>
        <x:v>0</x:v>
      </x:c>
      <x:c r="N95" s="10" t="str">
        <x:f aca="0">IF(AND(D95&lt;&gt;"原料",D95&lt;&gt;"燃料能源",L95=0),"⚠ 无来源",IF(AND(D95="日常用品",OR(F95="",H95="")),"⚠ 缺作用维度或问题来源",IF(OR(D95="大件",D95="日常用品",D95="服务品",D95="基础设施",D95="副产",D95="燃料能源",D95="金融品"),"OK",IF(M95=0,"⚠ 无去向","OK"))))</x:f>
        <x:v>OK</x:v>
      </x:c>
    </x:row>
    <x:row r="96" ht="15" hidden="0">
      <x:c r="A96" s="10" t="str">
        <x:v>I108</x:v>
      </x:c>
      <x:c r="B96" s="6" t="str">
        <x:v>家电维修</x:v>
      </x:c>
      <x:c r="C96" s="14" t="str">
        <x:v>现代</x:v>
      </x:c>
      <x:c r="D96" s="78" t="str">
        <x:v>服务品</x:v>
      </x:c>
      <x:c r="E96" s="6" t="str">
        <x:v>维护服务</x:v>
      </x:c>
      <x:c r="F96" s="6" t="str">
        <x:v>耐久</x:v>
      </x:c>
      <x:c r="G96" s="6" t="str">
        <x:v>冰箱、洗衣机、电视机的磨损维修；依设备使用不同备件。</x:v>
      </x:c>
      <x:c r="H96" s="6" t="str">
        <x:v>冰箱、洗衣机、电视机</x:v>
      </x:c>
      <x:c r="I96" s="13" t="str">
        <x:v>现款</x:v>
      </x:c>
      <x:c r="J96" s="13" t="str">
        <x:v>新增</x:v>
      </x:c>
      <x:c r="K96" s="21" t="str">
        <x:v>统一维修服务物品，保留三条按电器区分的维修配方。</x:v>
      </x:c>
      <x:c r="L96" s="10" t="n">
        <x:f aca="0">COUNTIF(建筑配方!$M$4:$M$118,B96)+COUNTIF(建筑配方!$N$4:$N$118,B96)</x:f>
        <x:v>3</x:v>
      </x:c>
      <x:c r="M96" s="10" t="n">
        <x:f aca="0">SUMPRODUCT(--(建筑配方!$G$4:$L$118=B96))</x:f>
        <x:v>0</x:v>
      </x:c>
      <x:c r="N96" s="10" t="str">
        <x:f aca="0">IF(AND(D96&lt;&gt;"原料",D96&lt;&gt;"燃料能源",L96=0),"⚠ 无来源",IF(AND(D96="日常用品",OR(F96="",H96="")),"⚠ 缺作用维度或问题来源",IF(OR(D96="大件",D96="日常用品",D96="服务品",D96="基础设施",D96="副产",D96="燃料能源",D96="金融品"),"OK",IF(M96=0,"⚠ 无去向","OK"))))</x:f>
        <x:v>OK</x:v>
      </x:c>
    </x:row>
    <x:row r="97" ht="15" hidden="0">
      <x:c r="A97" s="10" t="str">
        <x:v>I111</x:v>
      </x:c>
      <x:c r="B97" s="6" t="str">
        <x:v>节目</x:v>
      </x:c>
      <x:c r="C97" s="15" t="str">
        <x:v>现代</x:v>
      </x:c>
      <x:c r="D97" s="78" t="str">
        <x:v>服务品</x:v>
      </x:c>
      <x:c r="E97" s="6" t="str">
        <x:v>内容服务</x:v>
      </x:c>
      <x:c r="F97" s="6" t="str">
        <x:v>心情</x:v>
      </x:c>
      <x:c r="G97" s="6" t="str">
        <x:v>电视机的使用需要内容供给</x:v>
      </x:c>
      <x:c r="H97" s="6" t="str">
        <x:v>电视机</x:v>
      </x:c>
      <x:c r="I97" s="13" t="str">
        <x:v>现款</x:v>
      </x:c>
      <x:c r="J97" s="13" t="str">
        <x:v>新增</x:v>
      </x:c>
      <x:c r="K97" s="21"/>
      <x:c r="L97" s="10" t="n">
        <x:f aca="0">COUNTIF(建筑配方!$M$4:$M$118,B97)+COUNTIF(建筑配方!$N$4:$N$118,B97)</x:f>
        <x:v>1</x:v>
      </x:c>
      <x:c r="M97" s="10" t="n">
        <x:f aca="0">SUMPRODUCT(--(建筑配方!$G$4:$L$118=B97))</x:f>
        <x:v>1</x:v>
      </x:c>
      <x:c r="N97" s="10" t="str">
        <x:f aca="0">IF(AND(D97&lt;&gt;"原料",D97&lt;&gt;"燃料能源",L97=0),"⚠ 无来源",IF(AND(D97="日常用品",OR(F97="",H97="")),"⚠ 缺作用维度或问题来源",IF(OR(D97="大件",D97="日常用品",D97="服务品",D97="基础设施",D97="副产",D97="燃料能源",D97="金融品"),"OK",IF(M97=0,"⚠ 无去向","OK"))))</x:f>
        <x:v>OK</x:v>
      </x:c>
    </x:row>
    <x:row r="98" ht="29.850000381469727" hidden="0">
      <x:c r="A98" s="10" t="str">
        <x:v>I112</x:v>
      </x:c>
      <x:c r="B98" s="6" t="str">
        <x:v>公路</x:v>
      </x:c>
      <x:c r="C98" s="11" t="str">
        <x:v>现代</x:v>
      </x:c>
      <x:c r="D98" s="80" t="str">
        <x:v>基础设施</x:v>
      </x:c>
      <x:c r="E98" s="6" t="str">
        <x:v>交通</x:v>
      </x:c>
      <x:c r="F98" s="6" t="str">
        <x:v>时间</x:v>
      </x:c>
      <x:c r="G98" s="6" t="str">
        <x:v>汽车的使用前提</x:v>
      </x:c>
      <x:c r="H98" s="6" t="str">
        <x:v>汽车</x:v>
      </x:c>
      <x:c r="I98" s="13" t="str">
        <x:v>建造</x:v>
      </x:c>
      <x:c r="J98" s="13" t="str">
        <x:v>新增</x:v>
      </x:c>
      <x:c r="K98" s="21" t="str">
        <x:v>沥青 + 花岗岩。汽车没有公路，等于没有。</x:v>
      </x:c>
      <x:c r="L98" s="10" t="n">
        <x:f aca="0">COUNTIF(建筑配方!$M$4:$M$118,B98)+COUNTIF(建筑配方!$N$4:$N$118,B98)</x:f>
        <x:v>1</x:v>
      </x:c>
      <x:c r="M98" s="10" t="n">
        <x:f aca="0">SUMPRODUCT(--(建筑配方!$G$4:$L$118=B98))</x:f>
        <x:v>0</x:v>
      </x:c>
      <x:c r="N98" s="10" t="str">
        <x:f aca="0">IF(AND(D98&lt;&gt;"原料",D98&lt;&gt;"燃料能源",L98=0),"⚠ 无来源",IF(AND(D98="日常用品",OR(F98="",H98="")),"⚠ 缺作用维度或问题来源",IF(OR(D98="大件",D98="日常用品",D98="服务品",D98="基础设施",D98="副产",D98="燃料能源",D98="金融品"),"OK",IF(M98=0,"⚠ 无去向","OK"))))</x:f>
        <x:v>OK</x:v>
      </x:c>
    </x:row>
    <x:row r="99" ht="15" hidden="0">
      <x:c r="A99" s="10" t="str">
        <x:v>I113</x:v>
      </x:c>
      <x:c r="B99" s="6" t="str">
        <x:v>管网</x:v>
      </x:c>
      <x:c r="C99" s="11" t="str">
        <x:v>工业化</x:v>
      </x:c>
      <x:c r="D99" s="80" t="str">
        <x:v>基础设施</x:v>
      </x:c>
      <x:c r="E99" s="6" t="str">
        <x:v>公用事业</x:v>
      </x:c>
      <x:c r="F99" s="6" t="str">
        <x:v>整洁</x:v>
      </x:c>
      <x:c r="G99" s="6" t="str">
        <x:v>把清水送进住宅</x:v>
      </x:c>
      <x:c r="H99" s="6" t="str">
        <x:v>砖房、混凝土公寓</x:v>
      </x:c>
      <x:c r="I99" s="13" t="str">
        <x:v>建造</x:v>
      </x:c>
      <x:c r="J99" s="13" t="str">
        <x:v>新增</x:v>
      </x:c>
      <x:c r="K99" s="21" t="str">
        <x:v>管材铺设；没有管网的住宅无法在家洗浴。</x:v>
      </x:c>
      <x:c r="L99" s="10" t="n">
        <x:f aca="0">COUNTIF(建筑配方!$M$4:$M$118,B99)+COUNTIF(建筑配方!$N$4:$N$118,B99)</x:f>
        <x:v>1</x:v>
      </x:c>
      <x:c r="M99" s="10" t="n">
        <x:f aca="0">SUMPRODUCT(--(建筑配方!$G$4:$L$118=B99))</x:f>
        <x:v>0</x:v>
      </x:c>
      <x:c r="N99" s="10" t="str">
        <x:f aca="0">IF(AND(D99&lt;&gt;"原料",D99&lt;&gt;"燃料能源",L99=0),"⚠ 无来源",IF(AND(D99="日常用品",OR(F99="",H99="")),"⚠ 缺作用维度或问题来源",IF(OR(D99="大件",D99="日常用品",D99="服务品",D99="基础设施",D99="副产",D99="燃料能源",D99="金融品"),"OK",IF(M99=0,"⚠ 无去向","OK"))))</x:f>
        <x:v>OK</x:v>
      </x:c>
    </x:row>
    <x:row r="100" ht="15" hidden="0">
      <x:c r="A100" s="10" t="str">
        <x:v>I114</x:v>
      </x:c>
      <x:c r="B100" s="6" t="str">
        <x:v>信用额度</x:v>
      </x:c>
      <x:c r="C100" s="11" t="str">
        <x:v>现代</x:v>
      </x:c>
      <x:c r="D100" s="82" t="str">
        <x:v>金融品</x:v>
      </x:c>
      <x:c r="E100" s="6" t="str">
        <x:v>金融</x:v>
      </x:c>
      <x:c r="F100" s="6" t="str">
        <x:v>预支</x:v>
      </x:c>
      <x:c r="G100" s="6" t="str">
        <x:v>银行把储备面包变成可预支的额度</x:v>
      </x:c>
      <x:c r="H100" s="6"/>
      <x:c r="I100" s="13"/>
      <x:c r="J100" s="13" t="str">
        <x:v>新增</x:v>
      </x:c>
      <x:c r="K100" s="21"/>
      <x:c r="L100" s="10" t="n">
        <x:f aca="0">COUNTIF(建筑配方!$M$4:$M$118,B100)+COUNTIF(建筑配方!$N$4:$N$118,B100)</x:f>
        <x:v>2</x:v>
      </x:c>
      <x:c r="M100" s="10" t="n">
        <x:f aca="0">SUMPRODUCT(--(建筑配方!$G$4:$L$118=B100))</x:f>
        <x:v>6</x:v>
      </x:c>
      <x:c r="N100" s="10" t="str">
        <x:f aca="0">IF(AND(D100&lt;&gt;"原料",D100&lt;&gt;"燃料能源",L100=0),"⚠ 无来源",IF(AND(D100="日常用品",OR(F100="",H100="")),"⚠ 缺作用维度或问题来源",IF(OR(D100="大件",D100="日常用品",D100="服务品",D100="基础设施",D100="副产",D100="燃料能源",D100="金融品"),"OK",IF(M100=0,"⚠ 无去向","OK"))))</x:f>
        <x:v>OK</x:v>
      </x:c>
    </x:row>
    <x:row r="101" ht="15" hidden="0">
      <x:c r="A101" s="10" t="str">
        <x:v>I115</x:v>
      </x:c>
      <x:c r="B101" s="6" t="str">
        <x:v>债务合同</x:v>
      </x:c>
      <x:c r="C101" s="14" t="str">
        <x:v>现代</x:v>
      </x:c>
      <x:c r="D101" s="82" t="str">
        <x:v>金融品</x:v>
      </x:c>
      <x:c r="E101" s="6" t="str">
        <x:v>金融</x:v>
      </x:c>
      <x:c r="F101" s="6" t="str">
        <x:v>预支</x:v>
      </x:c>
      <x:c r="G101" s="6" t="str">
        <x:v>分期购买大件后留在小人身上的固定开销</x:v>
      </x:c>
      <x:c r="H101" s="6"/>
      <x:c r="I101" s="13"/>
      <x:c r="J101" s="13" t="str">
        <x:v>新增</x:v>
      </x:c>
      <x:c r="K101" s="21" t="str">
        <x:v>债务让目标收入变刚性，压住躺平。</x:v>
      </x:c>
      <x:c r="L101" s="10" t="n">
        <x:f aca="0">COUNTIF(建筑配方!$M$4:$M$118,B101)+COUNTIF(建筑配方!$N$4:$N$118,B101)</x:f>
        <x:v>6</x:v>
      </x:c>
      <x:c r="M101" s="10" t="n">
        <x:f aca="0">SUMPRODUCT(--(建筑配方!$G$4:$L$118=B101))</x:f>
        <x:v>1</x:v>
      </x:c>
      <x:c r="N101" s="10" t="str">
        <x:f aca="0">IF(AND(D101&lt;&gt;"原料",D101&lt;&gt;"燃料能源",L101=0),"⚠ 无来源",IF(AND(D101="日常用品",OR(F101="",H101="")),"⚠ 缺作用维度或问题来源",IF(OR(D101="大件",D101="日常用品",D101="服务品",D101="基础设施",D101="副产",D101="燃料能源",D101="金融品"),"OK",IF(M101=0,"⚠ 无去向","OK"))))</x:f>
        <x:v>OK</x:v>
      </x:c>
    </x:row>
    <x:row r="102" ht="15" hidden="0">
      <x:c r="A102" s="10" t="str">
        <x:v>I116</x:v>
      </x:c>
      <x:c r="B102" s="6" t="str">
        <x:v>废水</x:v>
      </x:c>
      <x:c r="C102" s="15" t="str">
        <x:v>现代</x:v>
      </x:c>
      <x:c r="D102" s="84" t="str">
        <x:v>副产</x:v>
      </x:c>
      <x:c r="E102" s="6" t="str">
        <x:v>污染</x:v>
      </x:c>
      <x:c r="F102" s="6" t="str">
        <x:v>污染</x:v>
      </x:c>
      <x:c r="G102" s="6" t="str">
        <x:v>洗浴、洗衣的副产</x:v>
      </x:c>
      <x:c r="H102" s="6" t="str">
        <x:v>澡堂、砖房、混凝土公寓、洗衣机</x:v>
      </x:c>
      <x:c r="I102" s="13"/>
      <x:c r="J102" s="13" t="str">
        <x:v>新增</x:v>
      </x:c>
      <x:c r="K102" s="21" t="str">
        <x:v>污水处理厂回收成清水，闭合水循环。</x:v>
      </x:c>
      <x:c r="L102" s="10" t="n">
        <x:f aca="0">COUNTIF(建筑配方!$M$4:$M$118,B102)+COUNTIF(建筑配方!$N$4:$N$118,B102)</x:f>
        <x:v>4</x:v>
      </x:c>
      <x:c r="M102" s="10" t="n">
        <x:f aca="0">SUMPRODUCT(--(建筑配方!$G$4:$L$118=B102))</x:f>
        <x:v>1</x:v>
      </x:c>
      <x:c r="N102" s="10" t="str">
        <x:f aca="0">IF(AND(D102&lt;&gt;"原料",D102&lt;&gt;"燃料能源",L102=0),"⚠ 无来源",IF(AND(D102="日常用品",OR(F102="",H102="")),"⚠ 缺作用维度或问题来源",IF(OR(D102="大件",D102="日常用品",D102="服务品",D102="基础设施",D102="副产",D102="燃料能源",D102="金融品"),"OK",IF(M102=0,"⚠ 无去向","OK"))))</x:f>
        <x:v>OK</x:v>
      </x:c>
    </x:row>
    <x:row r="103" ht="15" hidden="0">
      <x:c r="A103" s="10" t="str">
        <x:v>I117</x:v>
      </x:c>
      <x:c r="B103" s="6" t="str">
        <x:v>废气</x:v>
      </x:c>
      <x:c r="C103" s="11" t="str">
        <x:v>现代</x:v>
      </x:c>
      <x:c r="D103" s="84" t="str">
        <x:v>副产</x:v>
      </x:c>
      <x:c r="E103" s="6" t="str">
        <x:v>污染</x:v>
      </x:c>
      <x:c r="F103" s="6" t="str">
        <x:v>污染</x:v>
      </x:c>
      <x:c r="G103" s="6" t="str">
        <x:v>汽车的副产</x:v>
      </x:c>
      <x:c r="H103" s="6" t="str">
        <x:v>汽车</x:v>
      </x:c>
      <x:c r="I103" s="13"/>
      <x:c r="J103" s="13" t="str">
        <x:v>新增</x:v>
      </x:c>
      <x:c r="K103" s="21" t="str">
        <x:v>没有处理建筑：由尾气净化器减轻，其余靠劳保用品承担。</x:v>
      </x:c>
      <x:c r="L103" s="10" t="n">
        <x:f aca="0">COUNTIF(建筑配方!$M$4:$M$118,B103)+COUNTIF(建筑配方!$N$4:$N$118,B103)</x:f>
        <x:v>1</x:v>
      </x:c>
      <x:c r="M103" s="10" t="n">
        <x:f aca="0">SUMPRODUCT(--(建筑配方!$G$4:$L$118=B103))</x:f>
        <x:v>0</x:v>
      </x:c>
      <x:c r="N103" s="10" t="str">
        <x:f aca="0">IF(AND(D103&lt;&gt;"原料",D103&lt;&gt;"燃料能源",L103=0),"⚠ 无来源",IF(AND(D103="日常用品",OR(F103="",H103="")),"⚠ 缺作用维度或问题来源",IF(OR(D103="大件",D103="日常用品",D103="服务品",D103="基础设施",D103="副产",D103="燃料能源",D103="金融品"),"OK",IF(M103=0,"⚠ 无去向","OK"))))</x:f>
        <x:v>OK</x:v>
      </x:c>
    </x:row>
    <x:row r="104" ht="15" hidden="0">
      <x:c r="A104" s="10"/>
      <x:c r="B104" s="6"/>
      <x:c r="C104" s="11"/>
      <x:c r="D104" s="22"/>
      <x:c r="E104" s="6"/>
      <x:c r="F104" s="6"/>
      <x:c r="G104" s="6"/>
      <x:c r="H104" s="6"/>
      <x:c r="I104" s="13"/>
      <x:c r="J104" s="13"/>
      <x:c r="K104" s="21"/>
      <x:c r="L104" s="10">
        <x:f aca="0"/>
      </x:c>
      <x:c r="M104" s="10">
        <x:f aca="0"/>
      </x:c>
      <x:c r="N104" s="10">
        <x:f aca="0"/>
      </x:c>
    </x:row>
    <x:row r="105" ht="23" hidden="0" customHeight="1">
      <x:c r="A105" s="57" t="str">
        <x:v>汇总：⚠ 项数</x:v>
      </x:c>
      <x:c r="B105" s="58"/>
      <x:c r="C105" s="57"/>
      <x:c r="D105" s="57" t="n">
        <x:f>COUNTIF(N4:N103,"⚠*")</x:f>
        <x:v>0</x:v>
      </x:c>
      <x:c r="E105" s="6"/>
      <x:c r="F105" s="6"/>
      <x:c r="G105" s="6"/>
      <x:c r="H105" s="6"/>
      <x:c r="I105" s="13"/>
      <x:c r="J105" s="13"/>
      <x:c r="K105" s="21"/>
      <x:c r="L105" s="10">
        <x:f aca="0"/>
      </x:c>
      <x:c r="M105" s="10">
        <x:f aca="0"/>
      </x:c>
      <x:c r="N105" s="10">
        <x:f aca="0"/>
      </x:c>
    </x:row>
    <x:row r="106" ht="29.850000381469727" hidden="0">
      <x:c r="A106" s="10"/>
      <x:c r="B106" s="6"/>
      <x:c r="C106" s="15"/>
      <x:c r="D106" s="22"/>
      <x:c r="E106" s="6"/>
      <x:c r="F106" s="6"/>
      <x:c r="G106" s="6"/>
      <x:c r="H106" s="6"/>
      <x:c r="I106" s="13"/>
      <x:c r="J106" s="13"/>
      <x:c r="K106" s="21"/>
      <x:c r="L106" s="10">
        <x:f aca="0"/>
      </x:c>
      <x:c r="M106" s="10">
        <x:f aca="0"/>
      </x:c>
      <x:c r="N106" s="10">
        <x:f aca="0"/>
      </x:c>
    </x:row>
    <x:row r="107" ht="15" hidden="0">
      <x:c r="A107" s="10"/>
      <x:c r="B107" s="6"/>
      <x:c r="C107" s="14"/>
      <x:c r="D107" s="23"/>
      <x:c r="E107" s="6"/>
      <x:c r="F107" s="6"/>
      <x:c r="G107" s="6"/>
      <x:c r="H107" s="6"/>
      <x:c r="I107" s="13"/>
      <x:c r="J107" s="13"/>
      <x:c r="K107" s="21"/>
      <x:c r="L107" s="10">
        <x:f aca="0"/>
      </x:c>
      <x:c r="M107" s="10">
        <x:f aca="0"/>
      </x:c>
      <x:c r="N107" s="10">
        <x:f aca="0"/>
      </x:c>
    </x:row>
    <x:row r="108" ht="15" hidden="0">
      <x:c r="A108" s="10"/>
      <x:c r="B108" s="6"/>
      <x:c r="C108" s="14"/>
      <x:c r="D108" s="23"/>
      <x:c r="E108" s="6"/>
      <x:c r="F108" s="6"/>
      <x:c r="G108" s="6"/>
      <x:c r="H108" s="6"/>
      <x:c r="I108" s="13"/>
      <x:c r="J108" s="13"/>
      <x:c r="K108" s="21"/>
      <x:c r="L108" s="10">
        <x:f aca="0"/>
      </x:c>
      <x:c r="M108" s="10">
        <x:f aca="0"/>
      </x:c>
      <x:c r="N108" s="10">
        <x:f aca="0"/>
      </x:c>
    </x:row>
    <x:row r="109" ht="15" hidden="0">
      <x:c r="A109" s="10"/>
      <x:c r="B109" s="6"/>
      <x:c r="C109" s="14"/>
      <x:c r="D109" s="23"/>
      <x:c r="E109" s="6"/>
      <x:c r="F109" s="6"/>
      <x:c r="G109" s="6"/>
      <x:c r="H109" s="6"/>
      <x:c r="I109" s="13"/>
      <x:c r="J109" s="13"/>
      <x:c r="K109" s="21"/>
      <x:c r="L109" s="10">
        <x:f aca="0"/>
      </x:c>
      <x:c r="M109" s="10">
        <x:f aca="0"/>
      </x:c>
      <x:c r="N109" s="10">
        <x:f aca="0"/>
      </x:c>
    </x:row>
    <x:row r="110" ht="15" hidden="0">
      <x:c r="A110" s="10"/>
      <x:c r="B110" s="6"/>
      <x:c r="C110" s="15"/>
      <x:c r="D110" s="23"/>
      <x:c r="E110" s="6"/>
      <x:c r="F110" s="6"/>
      <x:c r="G110" s="6"/>
      <x:c r="H110" s="6"/>
      <x:c r="I110" s="13"/>
      <x:c r="J110" s="13"/>
      <x:c r="K110" s="21"/>
      <x:c r="L110" s="10">
        <x:f aca="0"/>
      </x:c>
      <x:c r="M110" s="10">
        <x:f aca="0"/>
      </x:c>
      <x:c r="N110" s="10">
        <x:f aca="0"/>
      </x:c>
    </x:row>
    <x:row r="111" ht="15" hidden="0">
      <x:c r="A111" s="10"/>
      <x:c r="B111" s="6"/>
      <x:c r="C111" s="15"/>
      <x:c r="D111" s="23"/>
      <x:c r="E111" s="6"/>
      <x:c r="F111" s="6"/>
      <x:c r="G111" s="6"/>
      <x:c r="H111" s="6"/>
      <x:c r="I111" s="13"/>
      <x:c r="J111" s="13"/>
      <x:c r="K111" s="21"/>
      <x:c r="L111" s="10">
        <x:f aca="0"/>
      </x:c>
      <x:c r="M111" s="10">
        <x:f aca="0"/>
      </x:c>
      <x:c r="N111" s="10">
        <x:f aca="0"/>
      </x:c>
    </x:row>
    <x:row r="112" ht="15" hidden="0">
      <x:c r="A112" s="10"/>
      <x:c r="B112" s="6"/>
      <x:c r="C112" s="15"/>
      <x:c r="D112" s="23"/>
      <x:c r="E112" s="6"/>
      <x:c r="F112" s="6"/>
      <x:c r="G112" s="6"/>
      <x:c r="H112" s="6"/>
      <x:c r="I112" s="13"/>
      <x:c r="J112" s="13"/>
      <x:c r="K112" s="21"/>
      <x:c r="L112" s="10">
        <x:f aca="0"/>
      </x:c>
      <x:c r="M112" s="10">
        <x:f aca="0"/>
      </x:c>
      <x:c r="N112" s="10">
        <x:f aca="0"/>
      </x:c>
    </x:row>
    <x:row r="113" ht="15" hidden="0">
      <x:c r="A113" s="10"/>
      <x:c r="B113" s="6"/>
      <x:c r="C113" s="15"/>
      <x:c r="D113" s="23"/>
      <x:c r="E113" s="6"/>
      <x:c r="F113" s="6"/>
      <x:c r="G113" s="6"/>
      <x:c r="H113" s="6"/>
      <x:c r="I113" s="13"/>
      <x:c r="J113" s="13"/>
      <x:c r="K113" s="21"/>
      <x:c r="L113" s="10">
        <x:f aca="0"/>
      </x:c>
      <x:c r="M113" s="10">
        <x:f aca="0"/>
      </x:c>
      <x:c r="N113" s="10">
        <x:f aca="0"/>
      </x:c>
    </x:row>
    <x:row r="114" ht="15" hidden="0">
      <x:c r="A114" s="10"/>
      <x:c r="B114" s="6"/>
      <x:c r="C114" s="15"/>
      <x:c r="D114" s="23"/>
      <x:c r="E114" s="6"/>
      <x:c r="F114" s="6"/>
      <x:c r="G114" s="6"/>
      <x:c r="H114" s="6"/>
      <x:c r="I114" s="13"/>
      <x:c r="J114" s="13"/>
      <x:c r="K114" s="21"/>
      <x:c r="L114" s="10">
        <x:f aca="0"/>
      </x:c>
      <x:c r="M114" s="10">
        <x:f aca="0"/>
      </x:c>
      <x:c r="N114" s="10">
        <x:f aca="0"/>
      </x:c>
    </x:row>
    <x:row r="115" ht="15" hidden="0">
      <x:c r="A115" s="10"/>
      <x:c r="B115" s="6"/>
      <x:c r="C115" s="15"/>
      <x:c r="D115" s="24"/>
      <x:c r="E115" s="6"/>
      <x:c r="F115" s="6"/>
      <x:c r="G115" s="6"/>
      <x:c r="H115" s="6"/>
      <x:c r="I115" s="13"/>
      <x:c r="J115" s="13"/>
      <x:c r="K115" s="6"/>
      <x:c r="L115" s="10">
        <x:f aca="0"/>
      </x:c>
      <x:c r="M115" s="10">
        <x:f aca="0"/>
      </x:c>
      <x:c r="N115" s="10">
        <x:f aca="0"/>
      </x:c>
    </x:row>
    <x:row r="116" ht="15" hidden="0">
      <x:c r="A116" s="10"/>
      <x:c r="B116" s="6"/>
      <x:c r="C116" s="14"/>
      <x:c r="D116" s="24"/>
      <x:c r="E116" s="6"/>
      <x:c r="F116" s="6"/>
      <x:c r="G116" s="6"/>
      <x:c r="H116" s="6"/>
      <x:c r="I116" s="13"/>
      <x:c r="J116" s="13"/>
      <x:c r="K116" s="6"/>
      <x:c r="L116" s="10">
        <x:f aca="0"/>
      </x:c>
      <x:c r="M116" s="10">
        <x:f aca="0"/>
      </x:c>
      <x:c r="N116" s="10">
        <x:f aca="0"/>
      </x:c>
    </x:row>
    <x:row r="117" ht="15" hidden="0">
      <x:c r="A117" s="10"/>
      <x:c r="B117" s="6"/>
      <x:c r="C117" s="15"/>
      <x:c r="D117" s="25"/>
      <x:c r="E117" s="6"/>
      <x:c r="F117" s="6"/>
      <x:c r="G117" s="6"/>
      <x:c r="H117" s="21"/>
      <x:c r="I117" s="10"/>
      <x:c r="J117" s="13"/>
      <x:c r="K117" s="21"/>
      <x:c r="L117" s="10">
        <x:f aca="0"/>
      </x:c>
      <x:c r="M117" s="10">
        <x:f aca="0"/>
      </x:c>
      <x:c r="N117" s="10">
        <x:f aca="0"/>
      </x:c>
    </x:row>
    <x:row r="118" ht="15" hidden="0">
      <x:c r="A118" s="10"/>
      <x:c r="B118" s="6"/>
      <x:c r="C118" s="15"/>
      <x:c r="D118" s="25"/>
      <x:c r="E118" s="6"/>
      <x:c r="F118" s="6"/>
      <x:c r="G118" s="6"/>
      <x:c r="H118" s="21"/>
      <x:c r="I118" s="10"/>
      <x:c r="J118" s="13"/>
      <x:c r="K118" s="6"/>
      <x:c r="L118" s="10">
        <x:f aca="0"/>
      </x:c>
      <x:c r="M118" s="10">
        <x:f aca="0"/>
      </x:c>
      <x:c r="N118" s="10">
        <x:f aca="0"/>
      </x:c>
    </x:row>
    <x:row r="119" ht="29.850000381469727" hidden="0">
      <x:c r="A119" s="10"/>
      <x:c r="B119" s="6"/>
      <x:c r="C119" s="15"/>
      <x:c r="D119" s="26"/>
      <x:c r="E119" s="6"/>
      <x:c r="F119" s="6"/>
      <x:c r="G119" s="6"/>
      <x:c r="H119" s="6"/>
      <x:c r="I119" s="10"/>
      <x:c r="J119" s="13"/>
      <x:c r="K119" s="6"/>
      <x:c r="L119" s="10">
        <x:f aca="0"/>
      </x:c>
      <x:c r="M119" s="10">
        <x:f aca="0"/>
      </x:c>
      <x:c r="N119" s="10">
        <x:f aca="0"/>
      </x:c>
    </x:row>
    <x:row r="120" ht="15" hidden="0">
      <x:c r="A120" s="10"/>
      <x:c r="B120" s="6"/>
      <x:c r="C120" s="15"/>
      <x:c r="D120" s="26"/>
      <x:c r="E120" s="6"/>
      <x:c r="F120" s="6"/>
      <x:c r="G120" s="6"/>
      <x:c r="H120" s="6"/>
      <x:c r="I120" s="10"/>
      <x:c r="J120" s="13"/>
      <x:c r="K120" s="6"/>
      <x:c r="L120" s="10">
        <x:f aca="0"/>
      </x:c>
      <x:c r="M120" s="10">
        <x:f aca="0"/>
      </x:c>
      <x:c r="N120" s="10">
        <x:f aca="0"/>
      </x:c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</x:row>
    <x:row r="122" ht="15" hidden="0">
      <x:c r="A122" s="7"/>
      <x:c r="B122"/>
      <x:c r="C122"/>
      <x:c r="D122" s="7">
        <x:f aca="0"/>
      </x:c>
      <x:c r="E122"/>
      <x:c r="F122"/>
      <x:c r="G122"/>
      <x:c r="H122"/>
      <x:c r="I122"/>
      <x:c r="J122"/>
      <x:c r="K122"/>
      <x:c r="L122"/>
      <x:c r="M122"/>
      <x:c r="N12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F5597"/>
  </x:sheetPr>
  <x:sheetViews>
    <x:sheetView showGridLines="1" workbookViewId="0">
      <x:pane xSplit="5" ySplit="3" topLeftCell="F4" activePane="bottomRight" state="frozen"/>
    </x:sheetView>
  </x:sheetViews>
  <x:sheetFormatPr defaultColWidth="8.6796875" defaultRowHeight="15"/>
  <x:cols>
    <x:col min="1" max="1" width="7" hidden="0" customWidth="1"/>
    <x:col min="2" max="2" width="8" hidden="0" customWidth="1"/>
    <x:col min="3" max="3" width="13" hidden="0" customWidth="1"/>
    <x:col min="4" max="4" width="7" hidden="0" customWidth="1"/>
    <x:col min="5" max="5" width="16" hidden="0" customWidth="1"/>
    <x:col min="6" max="6" width="12" hidden="0" customWidth="1"/>
    <x:col min="7" max="12" width="10" hidden="0" customWidth="1"/>
    <x:col min="13" max="13" width="11" hidden="0" customWidth="1"/>
    <x:col min="14" max="14" width="8" hidden="0" customWidth="1"/>
    <x:col min="15" max="15" width="18" hidden="0" customWidth="1"/>
    <x:col min="16" max="16" width="7" hidden="0" customWidth="1"/>
    <x:col min="17" max="17" width="18" hidden="0" customWidth="1"/>
    <x:col min="18" max="18" width="48" hidden="0" customWidth="1"/>
    <x:col min="19" max="19" width="9" hidden="0" customWidth="1"/>
  </x:cols>
  <x:sheetData>
    <x:row r="1" ht="21.600000381469727" hidden="0">
      <x:c r="A1" s="1" t="s">
        <x:v>84</x:v>
      </x:c>
    </x:row>
    <x:row r="2" ht="15" hidden="0">
      <x:c r="A2" s="2" t="s">
        <x:v>85</x:v>
      </x:c>
    </x:row>
    <x:row r="3" ht="36" hidden="0" customHeight="1">
      <x:c r="A3" s="9" t="s">
        <x:v>72</x:v>
      </x:c>
      <x:c r="B3" s="5" t="s">
        <x:v>73</x:v>
      </x:c>
      <x:c r="C3" s="5" t="s">
        <x:v>86</x:v>
      </x:c>
      <x:c r="D3" s="5" t="s">
        <x:v>87</x:v>
      </x:c>
      <x:c r="E3" s="5" t="s">
        <x:v>88</x:v>
      </x:c>
      <x:c r="F3" s="5" t="s">
        <x:v>12</x:v>
      </x:c>
      <x:c r="G3" s="5" t="s">
        <x:v>89</x:v>
      </x:c>
      <x:c r="H3" s="5" t="s">
        <x:v>90</x:v>
      </x:c>
      <x:c r="I3" s="5" t="s">
        <x:v>91</x:v>
      </x:c>
      <x:c r="J3" s="5" t="s">
        <x:v>92</x:v>
      </x:c>
      <x:c r="K3" s="5" t="s">
        <x:v>93</x:v>
      </x:c>
      <x:c r="L3" s="5" t="s">
        <x:v>94</x:v>
      </x:c>
      <x:c r="M3" s="5" t="s">
        <x:v>95</x:v>
      </x:c>
      <x:c r="N3" s="5" t="s">
        <x:v>96</x:v>
      </x:c>
      <x:c r="O3" s="5" t="s">
        <x:v>76</x:v>
      </x:c>
      <x:c r="P3" s="5" t="s">
        <x:v>97</x:v>
      </x:c>
      <x:c r="Q3" s="5" t="s">
        <x:v>98</x:v>
      </x:c>
      <x:c r="R3" s="5" t="s">
        <x:v>99</x:v>
      </x:c>
      <x:c r="S3" s="5" t="s">
        <x:v>100</x:v>
      </x:c>
    </x:row>
    <x:row r="4" ht="15" hidden="0">
      <x:c r="A4" s="10" t="str">
        <x:v>P001</x:v>
      </x:c>
      <x:c r="B4" s="86" t="str">
        <x:v>中世纪</x:v>
      </x:c>
      <x:c r="C4" s="6" t="str">
        <x:v>抽水机</x:v>
      </x:c>
      <x:c r="D4" s="13" t="str">
        <x:v>生产</x:v>
      </x:c>
      <x:c r="E4" s="6" t="str">
        <x:v>抽水</x:v>
      </x:c>
      <x:c r="F4" s="13" t="str">
        <x:v>现有</x:v>
      </x:c>
      <x:c r="G4" s="21"/>
      <x:c r="H4" s="21"/>
      <x:c r="I4" s="21"/>
      <x:c r="J4" s="21"/>
      <x:c r="K4" s="21"/>
      <x:c r="L4" s="21"/>
      <x:c r="M4" s="6" t="str">
        <x:v>水</x:v>
      </x:c>
      <x:c r="N4" s="21"/>
      <x:c r="O4" s="21"/>
      <x:c r="P4" s="13" t="str">
        <x:v>待确认</x:v>
      </x:c>
      <x:c r="Q4" s="21"/>
      <x:c r="R4" s="6" t="str">
        <x:v>沿用现有。水源位置决定农田位置。</x:v>
      </x:c>
      <x:c r="S4" s="10" t="str">
        <x:f aca="0">IF(M4="","",IFERROR(INDEX(物品!$D$4:$D$103,MATCH(M4,物品!$B$4:$B$103,0)),""))</x:f>
        <x:v>原料</x:v>
      </x:c>
    </x:row>
    <x:row r="5" ht="15" hidden="0">
      <x:c r="A5" s="10" t="str">
        <x:v>P002</x:v>
      </x:c>
      <x:c r="B5" s="86" t="str">
        <x:v>中世纪</x:v>
      </x:c>
      <x:c r="C5" s="6" t="str">
        <x:v>净水器</x:v>
      </x:c>
      <x:c r="D5" s="13" t="str">
        <x:v>生产</x:v>
      </x:c>
      <x:c r="E5" s="6" t="str">
        <x:v>净化</x:v>
      </x:c>
      <x:c r="F5" s="13" t="str">
        <x:v>现有</x:v>
      </x:c>
      <x:c r="G5" s="6" t="str">
        <x:v>水</x:v>
      </x:c>
      <x:c r="H5" s="21"/>
      <x:c r="I5" s="21"/>
      <x:c r="J5" s="21"/>
      <x:c r="K5" s="21"/>
      <x:c r="L5" s="21"/>
      <x:c r="M5" s="6" t="str">
        <x:v>清水</x:v>
      </x:c>
      <x:c r="N5" s="21"/>
      <x:c r="O5" s="21"/>
      <x:c r="P5" s="13" t="str">
        <x:v>待确认</x:v>
      </x:c>
      <x:c r="Q5" s="21"/>
      <x:c r="R5" s="6" t="str">
        <x:v>沿用现有。</x:v>
      </x:c>
      <x:c r="S5" s="10" t="str">
        <x:f aca="0">IF(M5="","",IFERROR(INDEX(物品!$D$4:$D$103,MATCH(M5,物品!$B$4:$B$103,0)),""))</x:f>
        <x:v>日常用品</x:v>
      </x:c>
    </x:row>
    <x:row r="6" ht="15" hidden="0">
      <x:c r="A6" s="10" t="str">
        <x:v>P003</x:v>
      </x:c>
      <x:c r="B6" s="86" t="str">
        <x:v>中世纪</x:v>
      </x:c>
      <x:c r="C6" s="6" t="str">
        <x:v>农田</x:v>
      </x:c>
      <x:c r="D6" s="13" t="str">
        <x:v>生产</x:v>
      </x:c>
      <x:c r="E6" s="6" t="str">
        <x:v>种植</x:v>
      </x:c>
      <x:c r="F6" s="13" t="str">
        <x:v>现有</x:v>
      </x:c>
      <x:c r="G6" s="6" t="str">
        <x:v>水</x:v>
      </x:c>
      <x:c r="H6" s="21"/>
      <x:c r="I6" s="21"/>
      <x:c r="J6" s="21"/>
      <x:c r="K6" s="21"/>
      <x:c r="L6" s="21"/>
      <x:c r="M6" s="6" t="str">
        <x:v>小麦</x:v>
      </x:c>
      <x:c r="N6" s="21"/>
      <x:c r="O6" s="21"/>
      <x:c r="P6" s="13" t="str">
        <x:v>否</x:v>
      </x:c>
      <x:c r="Q6" s="21"/>
      <x:c r="R6" s="6" t="str">
        <x:v>必须邻近水源。</x:v>
      </x:c>
      <x:c r="S6" s="10" t="str">
        <x:f aca="0">IF(M6="","",IFERROR(INDEX(物品!$D$4:$D$103,MATCH(M6,物品!$B$4:$B$103,0)),""))</x:f>
        <x:v>原料</x:v>
      </x:c>
    </x:row>
    <x:row r="7" ht="15" hidden="0">
      <x:c r="A7" s="10" t="str">
        <x:v>P004</x:v>
      </x:c>
      <x:c r="B7" s="86" t="str">
        <x:v>中世纪</x:v>
      </x:c>
      <x:c r="C7" s="6" t="str">
        <x:v>磨房</x:v>
      </x:c>
      <x:c r="D7" s="13" t="str">
        <x:v>生产</x:v>
      </x:c>
      <x:c r="E7" s="6" t="str">
        <x:v>磨制面包（简化）</x:v>
      </x:c>
      <x:c r="F7" s="13" t="str">
        <x:v>现有</x:v>
      </x:c>
      <x:c r="G7" s="6" t="str">
        <x:v>小麦</x:v>
      </x:c>
      <x:c r="H7" s="21"/>
      <x:c r="I7" s="21"/>
      <x:c r="J7" s="21"/>
      <x:c r="K7" s="21"/>
      <x:c r="L7" s="21"/>
      <x:c r="M7" s="6" t="str">
        <x:v>面包</x:v>
      </x:c>
      <x:c r="N7" s="21"/>
      <x:c r="O7" s="21"/>
      <x:c r="P7" s="13" t="str">
        <x:v>否</x:v>
      </x:c>
      <x:c r="Q7" s="21"/>
      <x:c r="R7" s="6" t="str">
        <x:v>现有简化版；采用拆分方案则改用“磨粉 + 烘焙”。</x:v>
      </x:c>
      <x:c r="S7" s="10" t="str">
        <x:f aca="0">IF(M7="","",IFERROR(INDEX(物品!$D$4:$D$103,MATCH(M7,物品!$B$4:$B$103,0)),""))</x:f>
        <x:v>日常用品</x:v>
      </x:c>
    </x:row>
    <x:row r="8" ht="15" hidden="0">
      <x:c r="A8" s="10" t="str">
        <x:v>P005</x:v>
      </x:c>
      <x:c r="B8" s="86" t="str">
        <x:v>中世纪</x:v>
      </x:c>
      <x:c r="C8" s="6" t="str">
        <x:v>转化炉</x:v>
      </x:c>
      <x:c r="D8" s="13" t="str">
        <x:v>生产</x:v>
      </x:c>
      <x:c r="E8" s="6" t="str">
        <x:v>转化</x:v>
      </x:c>
      <x:c r="F8" s="13" t="str">
        <x:v>现有(占位)</x:v>
      </x:c>
      <x:c r="G8" s="6" t="str">
        <x:v>煤</x:v>
      </x:c>
      <x:c r="H8" s="21"/>
      <x:c r="I8" s="21"/>
      <x:c r="J8" s="21"/>
      <x:c r="K8" s="21"/>
      <x:c r="L8" s="21"/>
      <x:c r="M8" s="6" t="str">
        <x:v>面包</x:v>
      </x:c>
      <x:c r="N8" s="21"/>
      <x:c r="O8" s="21"/>
      <x:c r="P8" s="13" t="str">
        <x:v>否</x:v>
      </x:c>
      <x:c r="Q8" s="21"/>
      <x:c r="R8" s="6" t="str">
        <x:v>占位设计，建议改造成熔炉。</x:v>
      </x:c>
      <x:c r="S8" s="10" t="str">
        <x:f aca="0">IF(M8="","",IFERROR(INDEX(物品!$D$4:$D$103,MATCH(M8,物品!$B$4:$B$103,0)),""))</x:f>
        <x:v>日常用品</x:v>
      </x:c>
    </x:row>
    <x:row r="9" ht="15" hidden="0">
      <x:c r="A9" s="10" t="str">
        <x:v>P006</x:v>
      </x:c>
      <x:c r="B9" s="86" t="str">
        <x:v>中世纪</x:v>
      </x:c>
      <x:c r="C9" s="6" t="str">
        <x:v>磨房（拆分）</x:v>
      </x:c>
      <x:c r="D9" s="13" t="str">
        <x:v>生产</x:v>
      </x:c>
      <x:c r="E9" s="6" t="str">
        <x:v>磨粉</x:v>
      </x:c>
      <x:c r="F9" s="13" t="str">
        <x:v>可选</x:v>
      </x:c>
      <x:c r="G9" s="6" t="str">
        <x:v>小麦</x:v>
      </x:c>
      <x:c r="H9" s="21"/>
      <x:c r="I9" s="21"/>
      <x:c r="J9" s="21"/>
      <x:c r="K9" s="21"/>
      <x:c r="L9" s="21"/>
      <x:c r="M9" s="6" t="str">
        <x:v>面粉</x:v>
      </x:c>
      <x:c r="N9" s="21"/>
      <x:c r="O9" s="21"/>
      <x:c r="P9" s="13" t="str">
        <x:v>否</x:v>
      </x:c>
      <x:c r="Q9" s="21"/>
      <x:c r="R9" s="21"/>
      <x:c r="S9" s="10" t="str">
        <x:f aca="0">IF(M9="","",IFERROR(INDEX(物品!$D$4:$D$103,MATCH(M9,物品!$B$4:$B$103,0)),""))</x:f>
        <x:v>初级材料</x:v>
      </x:c>
    </x:row>
    <x:row r="10" ht="15" hidden="0">
      <x:c r="A10" s="10" t="str">
        <x:v>P007</x:v>
      </x:c>
      <x:c r="B10" s="86" t="str">
        <x:v>中世纪</x:v>
      </x:c>
      <x:c r="C10" s="6" t="str">
        <x:v>面包房</x:v>
      </x:c>
      <x:c r="D10" s="13" t="str">
        <x:v>生产</x:v>
      </x:c>
      <x:c r="E10" s="6" t="str">
        <x:v>烘焙</x:v>
      </x:c>
      <x:c r="F10" s="13" t="str">
        <x:v>可选</x:v>
      </x:c>
      <x:c r="G10" s="6" t="str">
        <x:v>面粉</x:v>
      </x:c>
      <x:c r="H10" s="6" t="str">
        <x:v>燃料</x:v>
      </x:c>
      <x:c r="I10" s="21"/>
      <x:c r="J10" s="21"/>
      <x:c r="K10" s="21"/>
      <x:c r="L10" s="21"/>
      <x:c r="M10" s="6" t="str">
        <x:v>面包</x:v>
      </x:c>
      <x:c r="N10" s="21"/>
      <x:c r="O10" s="21"/>
      <x:c r="P10" s="13" t="str">
        <x:v>否</x:v>
      </x:c>
      <x:c r="Q10" s="21"/>
      <x:c r="R10" s="21"/>
      <x:c r="S10" s="10" t="str">
        <x:f aca="0">IF(M10="","",IFERROR(INDEX(物品!$D$4:$D$103,MATCH(M10,物品!$B$4:$B$103,0)),""))</x:f>
        <x:v>日常用品</x:v>
      </x:c>
    </x:row>
    <x:row r="11" ht="15" hidden="0">
      <x:c r="A11" s="10" t="str">
        <x:v>P008</x:v>
      </x:c>
      <x:c r="B11" s="86" t="str">
        <x:v>中世纪</x:v>
      </x:c>
      <x:c r="C11" s="6" t="str">
        <x:v>酿酒坊</x:v>
      </x:c>
      <x:c r="D11" s="13" t="str">
        <x:v>生产</x:v>
      </x:c>
      <x:c r="E11" s="6" t="str">
        <x:v>酿造</x:v>
      </x:c>
      <x:c r="F11" s="13" t="str">
        <x:v>新增</x:v>
      </x:c>
      <x:c r="G11" s="6" t="str">
        <x:v>小麦</x:v>
      </x:c>
      <x:c r="H11" s="6" t="str">
        <x:v>水</x:v>
      </x:c>
      <x:c r="I11" s="21"/>
      <x:c r="J11" s="21"/>
      <x:c r="K11" s="21"/>
      <x:c r="L11" s="21"/>
      <x:c r="M11" s="6" t="str">
        <x:v>麦酒</x:v>
      </x:c>
      <x:c r="N11" s="21"/>
      <x:c r="O11" s="21"/>
      <x:c r="P11" s="13" t="str">
        <x:v>否</x:v>
      </x:c>
      <x:c r="Q11" s="21"/>
      <x:c r="R11" s="6" t="str">
        <x:v>小麦被酒分流；酒有副作用，不只是“心情 +n”。</x:v>
      </x:c>
      <x:c r="S11" s="10" t="str">
        <x:f aca="0">IF(M11="","",IFERROR(INDEX(物品!$D$4:$D$103,MATCH(M11,物品!$B$4:$B$103,0)),""))</x:f>
        <x:v>日常用品</x:v>
      </x:c>
    </x:row>
    <x:row r="12" ht="15" hidden="0">
      <x:c r="A12" s="10" t="str">
        <x:v>P009</x:v>
      </x:c>
      <x:c r="B12" s="86" t="str">
        <x:v>中世纪</x:v>
      </x:c>
      <x:c r="C12" s="6" t="str">
        <x:v>畜棚</x:v>
      </x:c>
      <x:c r="D12" s="13" t="str">
        <x:v>生产</x:v>
      </x:c>
      <x:c r="E12" s="6" t="str">
        <x:v>牧养</x:v>
      </x:c>
      <x:c r="F12" s="13" t="str">
        <x:v>新增</x:v>
      </x:c>
      <x:c r="G12" s="6" t="str">
        <x:v>小麦</x:v>
      </x:c>
      <x:c r="H12" s="6" t="str">
        <x:v>水</x:v>
      </x:c>
      <x:c r="I12" s="21"/>
      <x:c r="J12" s="21"/>
      <x:c r="K12" s="21"/>
      <x:c r="L12" s="21"/>
      <x:c r="M12" s="6" t="str">
        <x:v>羊毛</x:v>
      </x:c>
      <x:c r="N12" s="21"/>
      <x:c r="O12" s="21"/>
      <x:c r="P12" s="13" t="str">
        <x:v>否</x:v>
      </x:c>
      <x:c r="Q12" s="21"/>
      <x:c r="R12" s="21"/>
      <x:c r="S12" s="10" t="str">
        <x:f aca="0">IF(M12="","",IFERROR(INDEX(物品!$D$4:$D$103,MATCH(M12,物品!$B$4:$B$103,0)),""))</x:f>
        <x:v>原料</x:v>
      </x:c>
    </x:row>
    <x:row r="13" ht="15" hidden="0">
      <x:c r="A13" s="10" t="str">
        <x:v>P010</x:v>
      </x:c>
      <x:c r="B13" s="86" t="str">
        <x:v>中世纪</x:v>
      </x:c>
      <x:c r="C13" s="6" t="str">
        <x:v>人力发电机</x:v>
      </x:c>
      <x:c r="D13" s="13" t="str">
        <x:v>生产</x:v>
      </x:c>
      <x:c r="E13" s="6" t="str">
        <x:v>手摇发电</x:v>
      </x:c>
      <x:c r="F13" s="13" t="str">
        <x:v>现有</x:v>
      </x:c>
      <x:c r="G13" s="21"/>
      <x:c r="H13" s="21"/>
      <x:c r="I13" s="21"/>
      <x:c r="J13" s="21"/>
      <x:c r="K13" s="21"/>
      <x:c r="L13" s="21"/>
      <x:c r="M13" s="6" t="str">
        <x:v>电</x:v>
      </x:c>
      <x:c r="N13" s="21"/>
      <x:c r="O13" s="21"/>
      <x:c r="P13" s="13" t="str">
        <x:v>否</x:v>
      </x:c>
      <x:c r="Q13" s="21"/>
      <x:c r="R13" s="6" t="str">
        <x:v>一人操作，最高 400W，无燃料（来自你的设计文案）。</x:v>
      </x:c>
      <x:c r="S13" s="10" t="str">
        <x:f aca="0">IF(M13="","",IFERROR(INDEX(物品!$D$4:$D$103,MATCH(M13,物品!$B$4:$B$103,0)),""))</x:f>
        <x:v>燃料能源</x:v>
      </x:c>
    </x:row>
    <x:row r="14" ht="15" hidden="0">
      <x:c r="A14" s="10" t="str">
        <x:v>P011</x:v>
      </x:c>
      <x:c r="B14" s="86" t="str">
        <x:v>中世纪</x:v>
      </x:c>
      <x:c r="C14" s="6" t="str">
        <x:v>生物燃料堆</x:v>
      </x:c>
      <x:c r="D14" s="13" t="str">
        <x:v>生产</x:v>
      </x:c>
      <x:c r="E14" s="6" t="str">
        <x:v>发酵发电</x:v>
      </x:c>
      <x:c r="F14" s="13" t="str">
        <x:v>规划</x:v>
      </x:c>
      <x:c r="G14" s="6" t="str">
        <x:v>小麦</x:v>
      </x:c>
      <x:c r="H14" s="21"/>
      <x:c r="I14" s="21"/>
      <x:c r="J14" s="21"/>
      <x:c r="K14" s="21"/>
      <x:c r="L14" s="21"/>
      <x:c r="M14" s="6" t="str">
        <x:v>电</x:v>
      </x:c>
      <x:c r="N14" s="21"/>
      <x:c r="O14" s="21"/>
      <x:c r="P14" s="13" t="str">
        <x:v>否</x:v>
      </x:c>
      <x:c r="Q14" s="21"/>
      <x:c r="R14" s="6" t="str">
        <x:v>你的新建筑清单中的项目。</x:v>
      </x:c>
      <x:c r="S14" s="10" t="str">
        <x:f aca="0">IF(M14="","",IFERROR(INDEX(物品!$D$4:$D$103,MATCH(M14,物品!$B$4:$B$103,0)),""))</x:f>
        <x:v>燃料能源</x:v>
      </x:c>
    </x:row>
    <x:row r="15" ht="26.850000381469727" hidden="0">
      <x:c r="A15" s="10" t="str">
        <x:v>P012</x:v>
      </x:c>
      <x:c r="B15" s="86" t="str">
        <x:v>中世纪</x:v>
      </x:c>
      <x:c r="C15" s="6" t="str">
        <x:v>打印仓</x:v>
      </x:c>
      <x:c r="D15" s="13" t="str">
        <x:v>生产</x:v>
      </x:c>
      <x:c r="E15" s="6" t="str">
        <x:v>打印矿枪</x:v>
      </x:c>
      <x:c r="F15" s="13" t="str">
        <x:v>现有(配方待补)</x:v>
      </x:c>
      <x:c r="G15" s="21"/>
      <x:c r="H15" s="21"/>
      <x:c r="I15" s="21"/>
      <x:c r="J15" s="21"/>
      <x:c r="K15" s="21"/>
      <x:c r="L15" s="21"/>
      <x:c r="M15" s="6" t="str">
        <x:v>矿枪</x:v>
      </x:c>
      <x:c r="N15" s="21"/>
      <x:c r="O15" s="21"/>
      <x:c r="P15" s="13" t="str">
        <x:v>待确认</x:v>
      </x:c>
      <x:c r="Q15" s="21"/>
      <x:c r="R15" s="6" t="str">
        <x:v>输入配方沿用现有，请补。</x:v>
      </x:c>
      <x:c r="S15" s="10" t="str">
        <x:f aca="0">IF(M15="","",IFERROR(INDEX(物品!$D$4:$D$103,MATCH(M15,物品!$B$4:$B$103,0)),""))</x:f>
        <x:v>日常用品</x:v>
      </x:c>
    </x:row>
    <x:row r="16" ht="26.850000381469727" hidden="0">
      <x:c r="A16" s="10" t="str">
        <x:v>P013</x:v>
      </x:c>
      <x:c r="B16" s="86" t="str">
        <x:v>中世纪</x:v>
      </x:c>
      <x:c r="C16" s="6" t="str">
        <x:v>打印仓</x:v>
      </x:c>
      <x:c r="D16" s="13" t="str">
        <x:v>生产</x:v>
      </x:c>
      <x:c r="E16" s="6" t="str">
        <x:v>打印背包</x:v>
      </x:c>
      <x:c r="F16" s="13" t="str">
        <x:v>现有(配方待补)</x:v>
      </x:c>
      <x:c r="G16" s="21"/>
      <x:c r="H16" s="21"/>
      <x:c r="I16" s="21"/>
      <x:c r="J16" s="21"/>
      <x:c r="K16" s="21"/>
      <x:c r="L16" s="21"/>
      <x:c r="M16" s="6" t="str">
        <x:v>背包</x:v>
      </x:c>
      <x:c r="N16" s="21"/>
      <x:c r="O16" s="21"/>
      <x:c r="P16" s="13" t="str">
        <x:v>待确认</x:v>
      </x:c>
      <x:c r="Q16" s="21"/>
      <x:c r="R16" s="6" t="str">
        <x:v>输入配方沿用现有，请补。</x:v>
      </x:c>
      <x:c r="S16" s="10" t="str">
        <x:f aca="0">IF(M16="","",IFERROR(INDEX(物品!$D$4:$D$103,MATCH(M16,物品!$B$4:$B$103,0)),""))</x:f>
        <x:v>日常用品</x:v>
      </x:c>
    </x:row>
    <x:row r="17" ht="15" hidden="0">
      <x:c r="A17" s="10" t="str">
        <x:v>P014</x:v>
      </x:c>
      <x:c r="B17" s="86" t="str">
        <x:v>中世纪</x:v>
      </x:c>
      <x:c r="C17" s="6" t="str">
        <x:v>伐木场</x:v>
      </x:c>
      <x:c r="D17" s="13" t="str">
        <x:v>生产</x:v>
      </x:c>
      <x:c r="E17" s="6" t="str">
        <x:v>伐木</x:v>
      </x:c>
      <x:c r="F17" s="13" t="str">
        <x:v>新增</x:v>
      </x:c>
      <x:c r="G17" s="21"/>
      <x:c r="H17" s="21"/>
      <x:c r="I17" s="21"/>
      <x:c r="J17" s="21"/>
      <x:c r="K17" s="21"/>
      <x:c r="L17" s="21"/>
      <x:c r="M17" s="6" t="str">
        <x:v>木材</x:v>
      </x:c>
      <x:c r="N17" s="21"/>
      <x:c r="O17" s="21"/>
      <x:c r="P17" s="13" t="str">
        <x:v>否</x:v>
      </x:c>
      <x:c r="Q17" s="21"/>
      <x:c r="R17" s="21"/>
      <x:c r="S17" s="10" t="str">
        <x:f aca="0">IF(M17="","",IFERROR(INDEX(物品!$D$4:$D$103,MATCH(M17,物品!$B$4:$B$103,0)),""))</x:f>
        <x:v>原料</x:v>
      </x:c>
    </x:row>
    <x:row r="18" ht="15" hidden="0">
      <x:c r="A18" s="10" t="str">
        <x:v>P015</x:v>
      </x:c>
      <x:c r="B18" s="86" t="str">
        <x:v>中世纪</x:v>
      </x:c>
      <x:c r="C18" s="6" t="str">
        <x:v>锯木厂</x:v>
      </x:c>
      <x:c r="D18" s="13" t="str">
        <x:v>生产</x:v>
      </x:c>
      <x:c r="E18" s="6" t="str">
        <x:v>锯木</x:v>
      </x:c>
      <x:c r="F18" s="13" t="str">
        <x:v>新增</x:v>
      </x:c>
      <x:c r="G18" s="6" t="str">
        <x:v>木材</x:v>
      </x:c>
      <x:c r="H18" s="21"/>
      <x:c r="I18" s="21"/>
      <x:c r="J18" s="21"/>
      <x:c r="K18" s="21"/>
      <x:c r="L18" s="21"/>
      <x:c r="M18" s="6" t="str">
        <x:v>木板</x:v>
      </x:c>
      <x:c r="N18" s="21"/>
      <x:c r="O18" s="21"/>
      <x:c r="P18" s="13" t="str">
        <x:v>否</x:v>
      </x:c>
      <x:c r="Q18" s="21"/>
      <x:c r="R18" s="21"/>
      <x:c r="S18" s="10" t="str">
        <x:f aca="0">IF(M18="","",IFERROR(INDEX(物品!$D$4:$D$103,MATCH(M18,物品!$B$4:$B$103,0)),""))</x:f>
        <x:v>初级材料</x:v>
      </x:c>
    </x:row>
    <x:row r="19" ht="15" hidden="0">
      <x:c r="A19" s="10" t="str">
        <x:v>P016</x:v>
      </x:c>
      <x:c r="B19" s="86" t="str">
        <x:v>中世纪</x:v>
      </x:c>
      <x:c r="C19" s="6" t="str">
        <x:v>炭窑</x:v>
      </x:c>
      <x:c r="D19" s="13" t="str">
        <x:v>生产</x:v>
      </x:c>
      <x:c r="E19" s="6" t="str">
        <x:v>烧炭</x:v>
      </x:c>
      <x:c r="F19" s="13" t="str">
        <x:v>新增</x:v>
      </x:c>
      <x:c r="G19" s="6" t="str">
        <x:v>木材</x:v>
      </x:c>
      <x:c r="H19" s="21"/>
      <x:c r="I19" s="21"/>
      <x:c r="J19" s="21"/>
      <x:c r="K19" s="21"/>
      <x:c r="L19" s="21"/>
      <x:c r="M19" s="6" t="str">
        <x:v>木炭</x:v>
      </x:c>
      <x:c r="N19" s="21"/>
      <x:c r="O19" s="21"/>
      <x:c r="P19" s="13" t="str">
        <x:v>否</x:v>
      </x:c>
      <x:c r="Q19" s="21"/>
      <x:c r="R19" s="21"/>
      <x:c r="S19" s="10" t="str">
        <x:f aca="0">IF(M19="","",IFERROR(INDEX(物品!$D$4:$D$103,MATCH(M19,物品!$B$4:$B$103,0)),""))</x:f>
        <x:v>燃料能源</x:v>
      </x:c>
    </x:row>
    <x:row r="20" ht="15" hidden="0">
      <x:c r="A20" s="10" t="str">
        <x:v>P018</x:v>
      </x:c>
      <x:c r="B20" s="86" t="str">
        <x:v>中世纪</x:v>
      </x:c>
      <x:c r="C20" s="6" t="str">
        <x:v>砖窑</x:v>
      </x:c>
      <x:c r="D20" s="13" t="str">
        <x:v>生产</x:v>
      </x:c>
      <x:c r="E20" s="6" t="str">
        <x:v>烧瓦</x:v>
      </x:c>
      <x:c r="F20" s="13" t="str">
        <x:v>新增</x:v>
      </x:c>
      <x:c r="G20" s="6" t="str">
        <x:v>砂岩</x:v>
      </x:c>
      <x:c r="H20" s="6" t="str">
        <x:v>水</x:v>
      </x:c>
      <x:c r="I20" s="21" t="str">
        <x:v>燃料</x:v>
      </x:c>
      <x:c r="J20" s="21"/>
      <x:c r="K20" s="21"/>
      <x:c r="L20" s="21"/>
      <x:c r="M20" s="6" t="str">
        <x:v>屋瓦</x:v>
      </x:c>
      <x:c r="N20" s="21"/>
      <x:c r="O20" s="21"/>
      <x:c r="P20" s="13" t="str">
        <x:v>否</x:v>
      </x:c>
      <x:c r="Q20" s="21"/>
      <x:c r="R20" s="21"/>
      <x:c r="S20" s="10" t="str">
        <x:f aca="0">IF(M20="","",IFERROR(INDEX(物品!$D$4:$D$103,MATCH(M20,物品!$B$4:$B$103,0)),""))</x:f>
        <x:v>初级材料</x:v>
      </x:c>
    </x:row>
    <x:row r="21" ht="15" hidden="0">
      <x:c r="A21" s="10" t="str">
        <x:v>P019</x:v>
      </x:c>
      <x:c r="B21" s="86" t="str">
        <x:v>中世纪</x:v>
      </x:c>
      <x:c r="C21" s="6" t="str">
        <x:v>熔炉</x:v>
      </x:c>
      <x:c r="D21" s="13" t="str">
        <x:v>生产</x:v>
      </x:c>
      <x:c r="E21" s="6" t="str">
        <x:v>冶铁</x:v>
      </x:c>
      <x:c r="F21" s="13" t="str">
        <x:v>新增</x:v>
      </x:c>
      <x:c r="G21" s="6" t="str">
        <x:v>铁矿</x:v>
      </x:c>
      <x:c r="H21" s="6" t="str">
        <x:v>燃料</x:v>
      </x:c>
      <x:c r="I21" s="6"/>
      <x:c r="J21" s="21"/>
      <x:c r="K21" s="21"/>
      <x:c r="L21" s="21"/>
      <x:c r="M21" s="6" t="str">
        <x:v>铁锭</x:v>
      </x:c>
      <x:c r="N21" s="21"/>
      <x:c r="O21" s="21"/>
      <x:c r="P21" s="13" t="str">
        <x:v>否</x:v>
      </x:c>
      <x:c r="Q21" s="21"/>
      <x:c r="R21" s="21"/>
      <x:c r="S21" s="10" t="str">
        <x:f aca="0">IF(M21="","",IFERROR(INDEX(物品!$D$4:$D$103,MATCH(M21,物品!$B$4:$B$103,0)),""))</x:f>
        <x:v>初级材料</x:v>
      </x:c>
    </x:row>
    <x:row r="22" ht="15" hidden="0">
      <x:c r="A22" s="10" t="str">
        <x:v>P020</x:v>
      </x:c>
      <x:c r="B22" s="86" t="str">
        <x:v>中世纪</x:v>
      </x:c>
      <x:c r="C22" s="6" t="str">
        <x:v>熔炉</x:v>
      </x:c>
      <x:c r="D22" s="13" t="str">
        <x:v>生产</x:v>
      </x:c>
      <x:c r="E22" s="6" t="str">
        <x:v>冶铜</x:v>
      </x:c>
      <x:c r="F22" s="13" t="str">
        <x:v>新增</x:v>
      </x:c>
      <x:c r="G22" s="6" t="str">
        <x:v>铜矿</x:v>
      </x:c>
      <x:c r="H22" s="6" t="str">
        <x:v>燃料</x:v>
      </x:c>
      <x:c r="I22" s="21"/>
      <x:c r="J22" s="21"/>
      <x:c r="K22" s="21"/>
      <x:c r="L22" s="21"/>
      <x:c r="M22" s="6" t="str">
        <x:v>铜锭</x:v>
      </x:c>
      <x:c r="N22" s="21"/>
      <x:c r="O22" s="21"/>
      <x:c r="P22" s="13" t="str">
        <x:v>否</x:v>
      </x:c>
      <x:c r="Q22" s="21"/>
      <x:c r="R22" s="21"/>
      <x:c r="S22" s="10" t="str">
        <x:f aca="0">IF(M22="","",IFERROR(INDEX(物品!$D$4:$D$103,MATCH(M22,物品!$B$4:$B$103,0)),""))</x:f>
        <x:v>初级材料</x:v>
      </x:c>
    </x:row>
    <x:row r="23" ht="15" hidden="0">
      <x:c r="A23" s="10" t="str">
        <x:v>P021</x:v>
      </x:c>
      <x:c r="B23" s="86" t="str">
        <x:v>中世纪</x:v>
      </x:c>
      <x:c r="C23" s="6" t="str">
        <x:v>纺织坊</x:v>
      </x:c>
      <x:c r="D23" s="13" t="str">
        <x:v>生产</x:v>
      </x:c>
      <x:c r="E23" s="6" t="str">
        <x:v>纺布</x:v>
      </x:c>
      <x:c r="F23" s="13" t="str">
        <x:v>新增</x:v>
      </x:c>
      <x:c r="G23" s="6" t="str">
        <x:v>羊毛</x:v>
      </x:c>
      <x:c r="H23" s="6"/>
      <x:c r="I23" s="21"/>
      <x:c r="J23" s="21"/>
      <x:c r="K23" s="21"/>
      <x:c r="L23" s="21"/>
      <x:c r="M23" s="6" t="str">
        <x:v>布</x:v>
      </x:c>
      <x:c r="N23" s="21"/>
      <x:c r="O23" s="21"/>
      <x:c r="P23" s="13" t="str">
        <x:v>否</x:v>
      </x:c>
      <x:c r="Q23" s="21"/>
      <x:c r="R23" s="21"/>
      <x:c r="S23" s="10" t="str">
        <x:f aca="0">IF(M23="","",IFERROR(INDEX(物品!$D$4:$D$103,MATCH(M23,物品!$B$4:$B$103,0)),""))</x:f>
        <x:v>初级材料</x:v>
      </x:c>
    </x:row>
    <x:row r="24" ht="15" hidden="0">
      <x:c r="A24" s="10" t="str">
        <x:v>P022</x:v>
      </x:c>
      <x:c r="B24" s="86" t="str">
        <x:v>中世纪</x:v>
      </x:c>
      <x:c r="C24" s="6" t="str">
        <x:v>纺织坊</x:v>
      </x:c>
      <x:c r="D24" s="13" t="str">
        <x:v>生产</x:v>
      </x:c>
      <x:c r="E24" s="6" t="str">
        <x:v>制寝具</x:v>
      </x:c>
      <x:c r="F24" s="13" t="str">
        <x:v>新增</x:v>
      </x:c>
      <x:c r="G24" s="6" t="str">
        <x:v>布</x:v>
      </x:c>
      <x:c r="H24" s="21" t="str">
        <x:v>羊毛</x:v>
      </x:c>
      <x:c r="I24" s="21"/>
      <x:c r="J24" s="21"/>
      <x:c r="K24" s="21"/>
      <x:c r="L24" s="21"/>
      <x:c r="M24" s="6" t="str">
        <x:v>寝具</x:v>
      </x:c>
      <x:c r="N24" s="21"/>
      <x:c r="O24" s="21"/>
      <x:c r="P24" s="13" t="str">
        <x:v>否</x:v>
      </x:c>
      <x:c r="Q24" s="21"/>
      <x:c r="R24" s="21"/>
      <x:c r="S24" s="10" t="str">
        <x:f aca="0">IF(M24="","",IFERROR(INDEX(物品!$D$4:$D$103,MATCH(M24,物品!$B$4:$B$103,0)),""))</x:f>
        <x:v>日常用品</x:v>
      </x:c>
    </x:row>
    <x:row r="25" ht="15" hidden="0">
      <x:c r="A25" s="10" t="str">
        <x:v>P023</x:v>
      </x:c>
      <x:c r="B25" s="86" t="str">
        <x:v>中世纪</x:v>
      </x:c>
      <x:c r="C25" s="6" t="str">
        <x:v>纺织坊</x:v>
      </x:c>
      <x:c r="D25" s="13" t="str">
        <x:v>生产</x:v>
      </x:c>
      <x:c r="E25" s="6" t="str">
        <x:v>制保温毡</x:v>
      </x:c>
      <x:c r="F25" s="13" t="str">
        <x:v>新增</x:v>
      </x:c>
      <x:c r="G25" s="6" t="str">
        <x:v>羊毛</x:v>
      </x:c>
      <x:c r="H25" s="6"/>
      <x:c r="I25" s="21"/>
      <x:c r="J25" s="21"/>
      <x:c r="K25" s="21"/>
      <x:c r="L25" s="21"/>
      <x:c r="M25" s="6" t="str">
        <x:v>保温层</x:v>
      </x:c>
      <x:c r="N25" s="21"/>
      <x:c r="O25" s="21"/>
      <x:c r="P25" s="13" t="str">
        <x:v>否</x:v>
      </x:c>
      <x:c r="Q25" s="21"/>
      <x:c r="R25" s="21"/>
      <x:c r="S25" s="10" t="str">
        <x:f aca="0">IF(M25="","",IFERROR(INDEX(物品!$D$4:$D$103,MATCH(M25,物品!$B$4:$B$103,0)),""))</x:f>
        <x:v>零部件</x:v>
      </x:c>
    </x:row>
    <x:row r="26" ht="15" hidden="0">
      <x:c r="A26" s="10" t="str">
        <x:v>P024</x:v>
      </x:c>
      <x:c r="B26" s="86" t="str">
        <x:v>中世纪</x:v>
      </x:c>
      <x:c r="C26" s="6" t="str">
        <x:v>裁缝铺</x:v>
      </x:c>
      <x:c r="D26" s="13" t="str">
        <x:v>生产</x:v>
      </x:c>
      <x:c r="E26" s="6" t="str">
        <x:v>缝制衣物</x:v>
      </x:c>
      <x:c r="F26" s="13" t="str">
        <x:v>新增</x:v>
      </x:c>
      <x:c r="G26" s="6" t="str">
        <x:v>布</x:v>
      </x:c>
      <x:c r="H26" s="21"/>
      <x:c r="I26" s="21"/>
      <x:c r="J26" s="21"/>
      <x:c r="K26" s="21"/>
      <x:c r="L26" s="21"/>
      <x:c r="M26" s="6" t="str">
        <x:v>衣物</x:v>
      </x:c>
      <x:c r="N26" s="21"/>
      <x:c r="O26" s="21"/>
      <x:c r="P26" s="13" t="str">
        <x:v>否</x:v>
      </x:c>
      <x:c r="Q26" s="21"/>
      <x:c r="R26" s="21" t="str">
        <x:v>手工制衣的生产路线。</x:v>
      </x:c>
      <x:c r="S26" s="10" t="str">
        <x:f aca="0">IF(M26="","",IFERROR(INDEX(物品!$D$4:$D$103,MATCH(M26,物品!$B$4:$B$103,0)),""))</x:f>
        <x:v>日常用品</x:v>
      </x:c>
    </x:row>
    <x:row r="27" ht="15" hidden="0">
      <x:c r="A27" s="10" t="str">
        <x:v>P025</x:v>
      </x:c>
      <x:c r="B27" s="86" t="str">
        <x:v>中世纪</x:v>
      </x:c>
      <x:c r="C27" s="6" t="str">
        <x:v>铁匠铺</x:v>
      </x:c>
      <x:c r="D27" s="13" t="str">
        <x:v>生产</x:v>
      </x:c>
      <x:c r="E27" s="6" t="str">
        <x:v>锻紧固件</x:v>
      </x:c>
      <x:c r="F27" s="13" t="str">
        <x:v>新增</x:v>
      </x:c>
      <x:c r="G27" s="6" t="str">
        <x:v>铁锭</x:v>
      </x:c>
      <x:c r="H27" s="21"/>
      <x:c r="I27" s="21"/>
      <x:c r="J27" s="21"/>
      <x:c r="K27" s="21"/>
      <x:c r="L27" s="21"/>
      <x:c r="M27" s="6" t="str">
        <x:v>紧固件</x:v>
      </x:c>
      <x:c r="N27" s="21"/>
      <x:c r="O27" s="21"/>
      <x:c r="P27" s="13" t="str">
        <x:v>否</x:v>
      </x:c>
      <x:c r="Q27" s="21"/>
      <x:c r="R27" s="21"/>
      <x:c r="S27" s="10" t="str">
        <x:f aca="0">IF(M27="","",IFERROR(INDEX(物品!$D$4:$D$103,MATCH(M27,物品!$B$4:$B$103,0)),""))</x:f>
        <x:v>零部件</x:v>
      </x:c>
    </x:row>
    <x:row r="28" ht="15" hidden="0">
      <x:c r="A28" s="10" t="str">
        <x:v>P026</x:v>
      </x:c>
      <x:c r="B28" s="86" t="str">
        <x:v>中世纪</x:v>
      </x:c>
      <x:c r="C28" s="6" t="str">
        <x:v>铁匠铺</x:v>
      </x:c>
      <x:c r="D28" s="13" t="str">
        <x:v>生产</x:v>
      </x:c>
      <x:c r="E28" s="6" t="str">
        <x:v>锻铁工具</x:v>
      </x:c>
      <x:c r="F28" s="13" t="str">
        <x:v>新增</x:v>
      </x:c>
      <x:c r="G28" s="6" t="str">
        <x:v>铁锭</x:v>
      </x:c>
      <x:c r="H28" s="21" t="str">
        <x:v>木板</x:v>
      </x:c>
      <x:c r="I28" s="21"/>
      <x:c r="J28" s="21"/>
      <x:c r="K28" s="21"/>
      <x:c r="L28" s="21"/>
      <x:c r="M28" s="6" t="str">
        <x:v>铁工具</x:v>
      </x:c>
      <x:c r="N28" s="21"/>
      <x:c r="O28" s="21"/>
      <x:c r="P28" s="13" t="str">
        <x:v>否</x:v>
      </x:c>
      <x:c r="Q28" s="21"/>
      <x:c r="R28" s="21"/>
      <x:c r="S28" s="10" t="str">
        <x:f aca="0">IF(M28="","",IFERROR(INDEX(物品!$D$4:$D$103,MATCH(M28,物品!$B$4:$B$103,0)),""))</x:f>
        <x:v>日常用品</x:v>
      </x:c>
    </x:row>
    <x:row r="29" ht="15" hidden="0">
      <x:c r="A29" s="10" t="str">
        <x:v>P027</x:v>
      </x:c>
      <x:c r="B29" s="86" t="str">
        <x:v>中世纪</x:v>
      </x:c>
      <x:c r="C29" s="6" t="str">
        <x:v>木匠铺</x:v>
      </x:c>
      <x:c r="D29" s="13" t="str">
        <x:v>生产</x:v>
      </x:c>
      <x:c r="E29" s="6" t="str">
        <x:v>制屋顶</x:v>
      </x:c>
      <x:c r="F29" s="13" t="str">
        <x:v>新增</x:v>
      </x:c>
      <x:c r="G29" s="6" t="str">
        <x:v>木板</x:v>
      </x:c>
      <x:c r="H29" s="6" t="str">
        <x:v>紧固件</x:v>
      </x:c>
      <x:c r="I29" s="21" t="str">
        <x:v>屋瓦</x:v>
      </x:c>
      <x:c r="J29" s="21"/>
      <x:c r="K29" s="21"/>
      <x:c r="L29" s="21"/>
      <x:c r="M29" s="6" t="str">
        <x:v>屋顶</x:v>
      </x:c>
      <x:c r="N29" s="21"/>
      <x:c r="O29" s="21"/>
      <x:c r="P29" s="13" t="str">
        <x:v>否</x:v>
      </x:c>
      <x:c r="Q29" s="21"/>
      <x:c r="R29" s="21" t="str">
        <x:v>屋架与屋顶合并为一次加工。</x:v>
      </x:c>
      <x:c r="S29" s="10" t="str">
        <x:f aca="0">IF(M29="","",IFERROR(INDEX(物品!$D$4:$D$103,MATCH(M29,物品!$B$4:$B$103,0)),""))</x:f>
        <x:v>总成</x:v>
      </x:c>
    </x:row>
    <x:row r="30" ht="15" hidden="0">
      <x:c r="A30" s="10" t="str">
        <x:v>P028</x:v>
      </x:c>
      <x:c r="B30" s="86" t="str">
        <x:v>中世纪</x:v>
      </x:c>
      <x:c r="C30" s="6" t="str">
        <x:v>木匠铺</x:v>
      </x:c>
      <x:c r="D30" s="13" t="str">
        <x:v>生产</x:v>
      </x:c>
      <x:c r="E30" s="6" t="str">
        <x:v>制家具</x:v>
      </x:c>
      <x:c r="F30" s="13" t="str">
        <x:v>新增</x:v>
      </x:c>
      <x:c r="G30" s="6" t="str">
        <x:v>木板</x:v>
      </x:c>
      <x:c r="H30" s="6" t="str">
        <x:v>紧固件</x:v>
      </x:c>
      <x:c r="I30" s="21"/>
      <x:c r="J30" s="21"/>
      <x:c r="K30" s="21"/>
      <x:c r="L30" s="21"/>
      <x:c r="M30" s="6" t="str">
        <x:v>家具</x:v>
      </x:c>
      <x:c r="N30" s="21"/>
      <x:c r="O30" s="21"/>
      <x:c r="P30" s="13" t="str">
        <x:v>否</x:v>
      </x:c>
      <x:c r="Q30" s="21"/>
      <x:c r="R30" s="21"/>
      <x:c r="S30" s="10" t="str">
        <x:f aca="0">IF(M30="","",IFERROR(INDEX(物品!$D$4:$D$103,MATCH(M30,物品!$B$4:$B$103,0)),""))</x:f>
        <x:v>日常用品</x:v>
      </x:c>
    </x:row>
    <x:row r="31" ht="15" hidden="0">
      <x:c r="A31" s="10" t="str">
        <x:v>P029</x:v>
      </x:c>
      <x:c r="B31" s="86" t="str">
        <x:v>中世纪</x:v>
      </x:c>
      <x:c r="C31" s="6" t="str">
        <x:v>营造厂</x:v>
      </x:c>
      <x:c r="D31" s="13" t="str">
        <x:v>生产</x:v>
      </x:c>
      <x:c r="E31" s="6" t="str">
        <x:v>建砂岩屋</x:v>
      </x:c>
      <x:c r="F31" s="13" t="str">
        <x:v>新增</x:v>
      </x:c>
      <x:c r="G31" s="6" t="str">
        <x:v>砂岩</x:v>
      </x:c>
      <x:c r="H31" s="6" t="str">
        <x:v>木板</x:v>
      </x:c>
      <x:c r="I31" s="21"/>
      <x:c r="J31" s="21"/>
      <x:c r="K31" s="21"/>
      <x:c r="L31" s="21"/>
      <x:c r="M31" s="6" t="str">
        <x:v>砂岩屋</x:v>
      </x:c>
      <x:c r="N31" s="21"/>
      <x:c r="O31" s="21"/>
      <x:c r="P31" s="13" t="str">
        <x:v>否</x:v>
      </x:c>
      <x:c r="Q31" s="21"/>
      <x:c r="R31" s="21" t="str">
        <x:v>入门住宅，直接用材料，没有中间件。</x:v>
      </x:c>
      <x:c r="S31" s="10" t="str">
        <x:f aca="0">IF(M31="","",IFERROR(INDEX(物品!$D$4:$D$103,MATCH(M31,物品!$B$4:$B$103,0)),""))</x:f>
        <x:v>大件</x:v>
      </x:c>
    </x:row>
    <x:row r="32" ht="15" hidden="0">
      <x:c r="A32" s="10" t="str">
        <x:v>P030</x:v>
      </x:c>
      <x:c r="B32" s="88" t="str">
        <x:v>工业化</x:v>
      </x:c>
      <x:c r="C32" s="6" t="str">
        <x:v>钢厂</x:v>
      </x:c>
      <x:c r="D32" s="13" t="str">
        <x:v>生产</x:v>
      </x:c>
      <x:c r="E32" s="6" t="str">
        <x:v>炼钢</x:v>
      </x:c>
      <x:c r="F32" s="13" t="str">
        <x:v>新增</x:v>
      </x:c>
      <x:c r="G32" s="6" t="str">
        <x:v>铁矿</x:v>
      </x:c>
      <x:c r="H32" s="6" t="str">
        <x:v>煤</x:v>
      </x:c>
      <x:c r="I32" s="21"/>
      <x:c r="J32" s="21"/>
      <x:c r="K32" s="21"/>
      <x:c r="L32" s="21"/>
      <x:c r="M32" s="6" t="str">
        <x:v>钢材</x:v>
      </x:c>
      <x:c r="N32" s="21"/>
      <x:c r="O32" s="21"/>
      <x:c r="P32" s="13" t="str">
        <x:v>否</x:v>
      </x:c>
      <x:c r="Q32" s="21"/>
      <x:c r="R32" s="6" t="str">
        <x:v>炼钢直接产出钢材，取消生铁中间步骤。</x:v>
      </x:c>
      <x:c r="S32" s="10" t="str">
        <x:f aca="0">IF(M32="","",IFERROR(INDEX(物品!$D$4:$D$103,MATCH(M32,物品!$B$4:$B$103,0)),""))</x:f>
        <x:v>初级材料</x:v>
      </x:c>
    </x:row>
    <x:row r="33" ht="15" hidden="0">
      <x:c r="A33" s="10" t="str">
        <x:v>P032</x:v>
      </x:c>
      <x:c r="B33" s="88" t="str">
        <x:v>工业化</x:v>
      </x:c>
      <x:c r="C33" s="6" t="str">
        <x:v>拉丝厂</x:v>
      </x:c>
      <x:c r="D33" s="13" t="str">
        <x:v>生产</x:v>
      </x:c>
      <x:c r="E33" s="6" t="str">
        <x:v>拉丝</x:v>
      </x:c>
      <x:c r="F33" s="13" t="str">
        <x:v>新增</x:v>
      </x:c>
      <x:c r="G33" s="6" t="str">
        <x:v>铜锭</x:v>
      </x:c>
      <x:c r="H33" s="6"/>
      <x:c r="I33" s="21"/>
      <x:c r="J33" s="21"/>
      <x:c r="K33" s="21"/>
      <x:c r="L33" s="21"/>
      <x:c r="M33" s="6" t="str">
        <x:v>铜线</x:v>
      </x:c>
      <x:c r="N33" s="21"/>
      <x:c r="O33" s="21"/>
      <x:c r="P33" s="13" t="str">
        <x:v>是</x:v>
      </x:c>
      <x:c r="Q33" s="21"/>
      <x:c r="R33" s="21"/>
      <x:c r="S33" s="10" t="str">
        <x:f aca="0">IF(M33="","",IFERROR(INDEX(物品!$D$4:$D$103,MATCH(M33,物品!$B$4:$B$103,0)),""))</x:f>
        <x:v>初级材料</x:v>
      </x:c>
    </x:row>
    <x:row r="34" ht="15" hidden="0">
      <x:c r="A34" s="10" t="str">
        <x:v>P033</x:v>
      </x:c>
      <x:c r="B34" s="88" t="str">
        <x:v>工业化</x:v>
      </x:c>
      <x:c r="C34" s="6" t="str">
        <x:v>玻璃厂</x:v>
      </x:c>
      <x:c r="D34" s="13" t="str">
        <x:v>生产</x:v>
      </x:c>
      <x:c r="E34" s="6" t="str">
        <x:v>熔玻璃</x:v>
      </x:c>
      <x:c r="F34" s="13" t="str">
        <x:v>新增</x:v>
      </x:c>
      <x:c r="G34" s="6" t="str">
        <x:v>硅砂</x:v>
      </x:c>
      <x:c r="H34" s="6" t="str">
        <x:v>燃料</x:v>
      </x:c>
      <x:c r="I34" s="21"/>
      <x:c r="J34" s="21"/>
      <x:c r="K34" s="21"/>
      <x:c r="L34" s="21"/>
      <x:c r="M34" s="6" t="str">
        <x:v>玻璃</x:v>
      </x:c>
      <x:c r="N34" s="21"/>
      <x:c r="O34" s="21"/>
      <x:c r="P34" s="13" t="str">
        <x:v>否</x:v>
      </x:c>
      <x:c r="Q34" s="21"/>
      <x:c r="R34" s="21"/>
      <x:c r="S34" s="10" t="str">
        <x:f aca="0">IF(M34="","",IFERROR(INDEX(物品!$D$4:$D$103,MATCH(M34,物品!$B$4:$B$103,0)),""))</x:f>
        <x:v>初级材料</x:v>
      </x:c>
    </x:row>
    <x:row r="35" ht="15" hidden="0">
      <x:c r="A35" s="10" t="str">
        <x:v>P034</x:v>
      </x:c>
      <x:c r="B35" s="88" t="str">
        <x:v>工业化</x:v>
      </x:c>
      <x:c r="C35" s="6" t="str">
        <x:v>水泥窑</x:v>
      </x:c>
      <x:c r="D35" s="13" t="str">
        <x:v>生产</x:v>
      </x:c>
      <x:c r="E35" s="6" t="str">
        <x:v>烧水泥</x:v>
      </x:c>
      <x:c r="F35" s="13" t="str">
        <x:v>新增</x:v>
      </x:c>
      <x:c r="G35" s="6" t="str">
        <x:v>砂岩</x:v>
      </x:c>
      <x:c r="H35" s="21" t="str">
        <x:v>煤</x:v>
      </x:c>
      <x:c r="I35" s="21"/>
      <x:c r="J35" s="21"/>
      <x:c r="K35" s="21"/>
      <x:c r="L35" s="21"/>
      <x:c r="M35" s="6" t="str">
        <x:v>水泥</x:v>
      </x:c>
      <x:c r="N35" s="21"/>
      <x:c r="O35" s="21"/>
      <x:c r="P35" s="13" t="str">
        <x:v>否</x:v>
      </x:c>
      <x:c r="Q35" s="21"/>
      <x:c r="R35" s="21"/>
      <x:c r="S35" s="10" t="str">
        <x:f aca="0">IF(M35="","",IFERROR(INDEX(物品!$D$4:$D$103,MATCH(M35,物品!$B$4:$B$103,0)),""))</x:f>
        <x:v>初级材料</x:v>
      </x:c>
    </x:row>
    <x:row r="36" ht="15" hidden="0">
      <x:c r="A36" s="10" t="str">
        <x:v>P035</x:v>
      </x:c>
      <x:c r="B36" s="88" t="str">
        <x:v>工业化</x:v>
      </x:c>
      <x:c r="C36" s="6" t="str">
        <x:v>火力发电站</x:v>
      </x:c>
      <x:c r="D36" s="13" t="str">
        <x:v>生产</x:v>
      </x:c>
      <x:c r="E36" s="6" t="str">
        <x:v>发电</x:v>
      </x:c>
      <x:c r="F36" s="13" t="str">
        <x:v>新增</x:v>
      </x:c>
      <x:c r="G36" s="6" t="str">
        <x:v>煤</x:v>
      </x:c>
      <x:c r="H36" s="6" t="str">
        <x:v>水</x:v>
      </x:c>
      <x:c r="I36" s="21"/>
      <x:c r="J36" s="21"/>
      <x:c r="K36" s="21"/>
      <x:c r="L36" s="21"/>
      <x:c r="M36" s="6" t="str">
        <x:v>电</x:v>
      </x:c>
      <x:c r="N36" s="21"/>
      <x:c r="O36" s="21"/>
      <x:c r="P36" s="13" t="str">
        <x:v>否</x:v>
      </x:c>
      <x:c r="Q36" s="21"/>
      <x:c r="R36" s="21" t="str">
        <x:v>取代人力发电。</x:v>
      </x:c>
      <x:c r="S36" s="10" t="str">
        <x:f aca="0">IF(M36="","",IFERROR(INDEX(物品!$D$4:$D$103,MATCH(M36,物品!$B$4:$B$103,0)),""))</x:f>
        <x:v>燃料能源</x:v>
      </x:c>
    </x:row>
    <x:row r="37" ht="15" hidden="0">
      <x:c r="A37" s="10" t="str">
        <x:v>P036</x:v>
      </x:c>
      <x:c r="B37" s="88" t="str">
        <x:v>工业化</x:v>
      </x:c>
      <x:c r="C37" s="6" t="str">
        <x:v>化工厂</x:v>
      </x:c>
      <x:c r="D37" s="13" t="str">
        <x:v>生产</x:v>
      </x:c>
      <x:c r="E37" s="6" t="str">
        <x:v>煤化工</x:v>
      </x:c>
      <x:c r="F37" s="13" t="str">
        <x:v>新增</x:v>
      </x:c>
      <x:c r="G37" s="6" t="str">
        <x:v>煤</x:v>
      </x:c>
      <x:c r="H37" s="6" t="str">
        <x:v>水</x:v>
      </x:c>
      <x:c r="I37" s="21"/>
      <x:c r="J37" s="21"/>
      <x:c r="K37" s="21"/>
      <x:c r="L37" s="21"/>
      <x:c r="M37" s="6" t="str">
        <x:v>基础化学品</x:v>
      </x:c>
      <x:c r="N37" s="21"/>
      <x:c r="O37" s="21"/>
      <x:c r="P37" s="13" t="str">
        <x:v>否</x:v>
      </x:c>
      <x:c r="Q37" s="21"/>
      <x:c r="R37" s="21" t="str">
        <x:v>工业化的化工路线；现代换成石油路线。</x:v>
      </x:c>
      <x:c r="S37" s="10" t="str">
        <x:f aca="0">IF(M37="","",IFERROR(INDEX(物品!$D$4:$D$103,MATCH(M37,物品!$B$4:$B$103,0)),""))</x:f>
        <x:v>初级材料</x:v>
      </x:c>
    </x:row>
    <x:row r="38" ht="15" hidden="0">
      <x:c r="A38" s="10" t="str">
        <x:v>P037</x:v>
      </x:c>
      <x:c r="B38" s="88" t="str">
        <x:v>工业化</x:v>
      </x:c>
      <x:c r="C38" s="6" t="str">
        <x:v>化工厂</x:v>
      </x:c>
      <x:c r="D38" s="13" t="str">
        <x:v>生产</x:v>
      </x:c>
      <x:c r="E38" s="6" t="str">
        <x:v>合成化肥</x:v>
      </x:c>
      <x:c r="F38" s="13" t="str">
        <x:v>新增</x:v>
      </x:c>
      <x:c r="G38" s="6" t="str">
        <x:v>基础化学品</x:v>
      </x:c>
      <x:c r="H38" s="6"/>
      <x:c r="I38" s="21"/>
      <x:c r="J38" s="21"/>
      <x:c r="K38" s="21"/>
      <x:c r="L38" s="21"/>
      <x:c r="M38" s="6" t="str">
        <x:v>化肥</x:v>
      </x:c>
      <x:c r="N38" s="21"/>
      <x:c r="O38" s="21"/>
      <x:c r="P38" s="13" t="str">
        <x:v>否</x:v>
      </x:c>
      <x:c r="Q38" s="21"/>
      <x:c r="R38" s="6"/>
      <x:c r="S38" s="10" t="str">
        <x:f aca="0">IF(M38="","",IFERROR(INDEX(物品!$D$4:$D$103,MATCH(M38,物品!$B$4:$B$103,0)),""))</x:f>
        <x:v>初级材料</x:v>
      </x:c>
    </x:row>
    <x:row r="39" ht="15" hidden="0">
      <x:c r="A39" s="10" t="str">
        <x:v>P038</x:v>
      </x:c>
      <x:c r="B39" s="88" t="str">
        <x:v>工业化</x:v>
      </x:c>
      <x:c r="C39" s="6" t="str">
        <x:v>农田</x:v>
      </x:c>
      <x:c r="D39" s="13" t="str">
        <x:v>生产</x:v>
      </x:c>
      <x:c r="E39" s="6" t="str">
        <x:v>施肥种植</x:v>
      </x:c>
      <x:c r="F39" s="13" t="str">
        <x:v>新增</x:v>
      </x:c>
      <x:c r="G39" s="6" t="str">
        <x:v>水</x:v>
      </x:c>
      <x:c r="H39" s="6" t="str">
        <x:v>化肥</x:v>
      </x:c>
      <x:c r="I39" s="21"/>
      <x:c r="J39" s="21"/>
      <x:c r="K39" s="21"/>
      <x:c r="L39" s="21"/>
      <x:c r="M39" s="6" t="str">
        <x:v>小麦</x:v>
      </x:c>
      <x:c r="N39" s="21"/>
      <x:c r="O39" s="21"/>
      <x:c r="P39" s="13" t="str">
        <x:v>否</x:v>
      </x:c>
      <x:c r="Q39" s="21"/>
      <x:c r="R39" s="6" t="str">
        <x:v>增产配方：工业回头放大农业剩余。</x:v>
      </x:c>
      <x:c r="S39" s="10" t="str">
        <x:f aca="0">IF(M39="","",IFERROR(INDEX(物品!$D$4:$D$103,MATCH(M39,物品!$B$4:$B$103,0)),""))</x:f>
        <x:v>原料</x:v>
      </x:c>
    </x:row>
    <x:row r="40" ht="15" hidden="0">
      <x:c r="A40" s="10" t="str">
        <x:v>P039</x:v>
      </x:c>
      <x:c r="B40" s="88" t="str">
        <x:v>工业化</x:v>
      </x:c>
      <x:c r="C40" s="6" t="str">
        <x:v>日化厂</x:v>
      </x:c>
      <x:c r="D40" s="13" t="str">
        <x:v>生产</x:v>
      </x:c>
      <x:c r="E40" s="6" t="str">
        <x:v>制清洁用品</x:v>
      </x:c>
      <x:c r="F40" s="13" t="str">
        <x:v>新增</x:v>
      </x:c>
      <x:c r="G40" s="6" t="str">
        <x:v>基础化学品</x:v>
      </x:c>
      <x:c r="H40" s="21" t="str">
        <x:v>水</x:v>
      </x:c>
      <x:c r="I40" s="21"/>
      <x:c r="J40" s="21"/>
      <x:c r="K40" s="21"/>
      <x:c r="L40" s="21"/>
      <x:c r="M40" s="6" t="str">
        <x:v>清洁用品</x:v>
      </x:c>
      <x:c r="N40" s="21"/>
      <x:c r="O40" s="21"/>
      <x:c r="P40" s="13" t="str">
        <x:v>否</x:v>
      </x:c>
      <x:c r="Q40" s="21"/>
      <x:c r="R40" s="21" t="str">
        <x:v>肥皂和洗衣液合为清洁用品。</x:v>
      </x:c>
      <x:c r="S40" s="10" t="str">
        <x:f aca="0">IF(M40="","",IFERROR(INDEX(物品!$D$4:$D$103,MATCH(M40,物品!$B$4:$B$103,0)),""))</x:f>
        <x:v>日常用品</x:v>
      </x:c>
    </x:row>
    <x:row r="41" ht="15" hidden="0">
      <x:c r="A41" s="10" t="str">
        <x:v>P040</x:v>
      </x:c>
      <x:c r="B41" s="88" t="str">
        <x:v>工业化</x:v>
      </x:c>
      <x:c r="C41" s="6" t="str">
        <x:v>涂料厂</x:v>
      </x:c>
      <x:c r="D41" s="13" t="str">
        <x:v>生产</x:v>
      </x:c>
      <x:c r="E41" s="6" t="str">
        <x:v>调制涂料</x:v>
      </x:c>
      <x:c r="F41" s="13" t="str">
        <x:v>新增</x:v>
      </x:c>
      <x:c r="G41" s="6" t="str">
        <x:v>基础化学品</x:v>
      </x:c>
      <x:c r="H41" s="6" t="str">
        <x:v>水</x:v>
      </x:c>
      <x:c r="I41" s="21"/>
      <x:c r="J41" s="21"/>
      <x:c r="K41" s="21"/>
      <x:c r="L41" s="21"/>
      <x:c r="M41" s="6" t="str">
        <x:v>涂料</x:v>
      </x:c>
      <x:c r="N41" s="21"/>
      <x:c r="O41" s="21"/>
      <x:c r="P41" s="13" t="str">
        <x:v>否</x:v>
      </x:c>
      <x:c r="Q41" s="21"/>
      <x:c r="R41" s="6"/>
      <x:c r="S41" s="10" t="str">
        <x:f aca="0">IF(M41="","",IFERROR(INDEX(物品!$D$4:$D$103,MATCH(M41,物品!$B$4:$B$103,0)),""))</x:f>
        <x:v>初级材料</x:v>
      </x:c>
    </x:row>
    <x:row r="42" ht="15" hidden="0">
      <x:c r="A42" s="10" t="str">
        <x:v>P041</x:v>
      </x:c>
      <x:c r="B42" s="88" t="str">
        <x:v>工业化</x:v>
      </x:c>
      <x:c r="C42" s="6" t="str">
        <x:v>制药厂</x:v>
      </x:c>
      <x:c r="D42" s="13" t="str">
        <x:v>生产</x:v>
      </x:c>
      <x:c r="E42" s="6" t="str">
        <x:v>制医疗用品</x:v>
      </x:c>
      <x:c r="F42" s="13" t="str">
        <x:v>新增</x:v>
      </x:c>
      <x:c r="G42" s="6" t="str">
        <x:v>基础化学品</x:v>
      </x:c>
      <x:c r="H42" s="6" t="str">
        <x:v>水</x:v>
      </x:c>
      <x:c r="I42" s="21" t="str">
        <x:v>布</x:v>
      </x:c>
      <x:c r="J42" s="21"/>
      <x:c r="K42" s="21"/>
      <x:c r="L42" s="21"/>
      <x:c r="M42" s="6" t="str">
        <x:v>医疗用品</x:v>
      </x:c>
      <x:c r="N42" s="21"/>
      <x:c r="O42" s="21"/>
      <x:c r="P42" s="13" t="str">
        <x:v>否</x:v>
      </x:c>
      <x:c r="Q42" s="21"/>
      <x:c r="R42" s="21" t="str">
        <x:v>合并药品和急救包，用于诊疗和工伤急救。</x:v>
      </x:c>
      <x:c r="S42" s="10" t="str">
        <x:f aca="0">IF(M42="","",IFERROR(INDEX(物品!$D$4:$D$103,MATCH(M42,物品!$B$4:$B$103,0)),""))</x:f>
        <x:v>日常用品</x:v>
      </x:c>
    </x:row>
    <x:row r="43" ht="15" hidden="0">
      <x:c r="A43" s="10" t="str">
        <x:v>P043</x:v>
      </x:c>
      <x:c r="B43" s="88" t="str">
        <x:v>工业化</x:v>
      </x:c>
      <x:c r="C43" s="6" t="str">
        <x:v>纺织厂</x:v>
      </x:c>
      <x:c r="D43" s="13" t="str">
        <x:v>生产</x:v>
      </x:c>
      <x:c r="E43" s="6" t="str">
        <x:v>机织</x:v>
      </x:c>
      <x:c r="F43" s="13" t="str">
        <x:v>新增</x:v>
      </x:c>
      <x:c r="G43" s="6" t="str">
        <x:v>羊毛</x:v>
      </x:c>
      <x:c r="H43" s="6"/>
      <x:c r="I43" s="21"/>
      <x:c r="J43" s="21"/>
      <x:c r="K43" s="21"/>
      <x:c r="L43" s="21"/>
      <x:c r="M43" s="6" t="str">
        <x:v>布</x:v>
      </x:c>
      <x:c r="N43" s="21"/>
      <x:c r="O43" s="21"/>
      <x:c r="P43" s="13" t="str">
        <x:v>是</x:v>
      </x:c>
      <x:c r="Q43" s="21"/>
      <x:c r="R43" s="21" t="str">
        <x:v>取代手工纺织，需电。</x:v>
      </x:c>
      <x:c r="S43" s="10" t="str">
        <x:f aca="0">IF(M43="","",IFERROR(INDEX(物品!$D$4:$D$103,MATCH(M43,物品!$B$4:$B$103,0)),""))</x:f>
        <x:v>初级材料</x:v>
      </x:c>
    </x:row>
    <x:row r="44" ht="15" hidden="0">
      <x:c r="A44" s="10" t="str">
        <x:v>P044</x:v>
      </x:c>
      <x:c r="B44" s="88" t="str">
        <x:v>工业化</x:v>
      </x:c>
      <x:c r="C44" s="6" t="str">
        <x:v>成衣厂</x:v>
      </x:c>
      <x:c r="D44" s="13" t="str">
        <x:v>生产</x:v>
      </x:c>
      <x:c r="E44" s="6" t="str">
        <x:v>工业缝纫衣物</x:v>
      </x:c>
      <x:c r="F44" s="13" t="str">
        <x:v>新增</x:v>
      </x:c>
      <x:c r="G44" s="6" t="str">
        <x:v>布</x:v>
      </x:c>
      <x:c r="H44" s="6" t="str">
        <x:v>紧固件</x:v>
      </x:c>
      <x:c r="I44" s="21"/>
      <x:c r="J44" s="21"/>
      <x:c r="K44" s="21"/>
      <x:c r="L44" s="21"/>
      <x:c r="M44" s="6" t="str">
        <x:v>衣物</x:v>
      </x:c>
      <x:c r="N44" s="21"/>
      <x:c r="O44" s="21"/>
      <x:c r="P44" s="13" t="str">
        <x:v>是</x:v>
      </x:c>
      <x:c r="Q44" s="21"/>
      <x:c r="R44" s="21" t="str">
        <x:v>工业化制衣路线，与裁缝铺产出同一种衣物。</x:v>
      </x:c>
      <x:c r="S44" s="10" t="str">
        <x:f aca="0">IF(M44="","",IFERROR(INDEX(物品!$D$4:$D$103,MATCH(M44,物品!$B$4:$B$103,0)),""))</x:f>
        <x:v>日常用品</x:v>
      </x:c>
    </x:row>
    <x:row r="45" ht="15" hidden="0">
      <x:c r="A45" s="10" t="str">
        <x:v>P045</x:v>
      </x:c>
      <x:c r="B45" s="88" t="str">
        <x:v>工业化</x:v>
      </x:c>
      <x:c r="C45" s="6" t="str">
        <x:v>轧钢厂</x:v>
      </x:c>
      <x:c r="D45" s="13" t="str">
        <x:v>生产</x:v>
      </x:c>
      <x:c r="E45" s="6" t="str">
        <x:v>轧制管材</x:v>
      </x:c>
      <x:c r="F45" s="13" t="str">
        <x:v>新增</x:v>
      </x:c>
      <x:c r="G45" s="6" t="str">
        <x:v>钢材</x:v>
      </x:c>
      <x:c r="H45" s="6"/>
      <x:c r="I45" s="21"/>
      <x:c r="J45" s="21"/>
      <x:c r="K45" s="21"/>
      <x:c r="L45" s="21"/>
      <x:c r="M45" s="6" t="str">
        <x:v>管材</x:v>
      </x:c>
      <x:c r="N45" s="21"/>
      <x:c r="O45" s="21"/>
      <x:c r="P45" s="13" t="str">
        <x:v>否</x:v>
      </x:c>
      <x:c r="Q45" s="21"/>
      <x:c r="R45" s="21" t="str">
        <x:v>钢材路线；与塑料管生产路线互为替代。</x:v>
      </x:c>
      <x:c r="S45" s="10" t="str">
        <x:f aca="0">IF(M45="","",IFERROR(INDEX(物品!$D$4:$D$103,MATCH(M45,物品!$B$4:$B$103,0)),""))</x:f>
        <x:v>零部件</x:v>
      </x:c>
    </x:row>
    <x:row r="46" ht="15" hidden="0">
      <x:c r="A46" s="10" t="str">
        <x:v>P047</x:v>
      </x:c>
      <x:c r="B46" s="88" t="str">
        <x:v>工业化</x:v>
      </x:c>
      <x:c r="C46" s="6" t="str">
        <x:v>机械厂</x:v>
      </x:c>
      <x:c r="D46" s="13" t="str">
        <x:v>生产</x:v>
      </x:c>
      <x:c r="E46" s="6" t="str">
        <x:v>制机械零件</x:v>
      </x:c>
      <x:c r="F46" s="13" t="str">
        <x:v>新增</x:v>
      </x:c>
      <x:c r="G46" s="6" t="str">
        <x:v>钢材</x:v>
      </x:c>
      <x:c r="H46" s="21" t="str">
        <x:v>铁锭</x:v>
      </x:c>
      <x:c r="I46" s="21"/>
      <x:c r="J46" s="21"/>
      <x:c r="K46" s="21"/>
      <x:c r="L46" s="21"/>
      <x:c r="M46" s="6" t="str">
        <x:v>机械零件</x:v>
      </x:c>
      <x:c r="N46" s="21"/>
      <x:c r="O46" s="21"/>
      <x:c r="P46" s="13" t="str">
        <x:v>是</x:v>
      </x:c>
      <x:c r="Q46" s="21"/>
      <x:c r="R46" s="6" t="str">
        <x:v>轴承与传动件合为通用机械零件。</x:v>
      </x:c>
      <x:c r="S46" s="10" t="str">
        <x:f aca="0">IF(M46="","",IFERROR(INDEX(物品!$D$4:$D$103,MATCH(M46,物品!$B$4:$B$103,0)),""))</x:f>
        <x:v>零部件</x:v>
      </x:c>
    </x:row>
    <x:row r="47" ht="15" hidden="0">
      <x:c r="A47" s="10" t="str">
        <x:v>P049</x:v>
      </x:c>
      <x:c r="B47" s="88" t="str">
        <x:v>工业化</x:v>
      </x:c>
      <x:c r="C47" s="6" t="str">
        <x:v>机械厂</x:v>
      </x:c>
      <x:c r="D47" s="13" t="str">
        <x:v>生产</x:v>
      </x:c>
      <x:c r="E47" s="6" t="str">
        <x:v>制机械工具</x:v>
      </x:c>
      <x:c r="F47" s="13" t="str">
        <x:v>新增</x:v>
      </x:c>
      <x:c r="G47" s="6" t="str">
        <x:v>钢材</x:v>
      </x:c>
      <x:c r="H47" s="6" t="str">
        <x:v>机械零件</x:v>
      </x:c>
      <x:c r="I47" s="21" t="str">
        <x:v>润滑油</x:v>
      </x:c>
      <x:c r="J47" s="21"/>
      <x:c r="K47" s="21"/>
      <x:c r="L47" s="21"/>
      <x:c r="M47" s="6" t="str">
        <x:v>机械工具</x:v>
      </x:c>
      <x:c r="N47" s="21"/>
      <x:c r="O47" s="21"/>
      <x:c r="P47" s="13" t="str">
        <x:v>是</x:v>
      </x:c>
      <x:c r="Q47" s="21"/>
      <x:c r="R47" s="21" t="str">
        <x:v>润滑油在制造时就要用：工具链被石油链牵连。</x:v>
      </x:c>
      <x:c r="S47" s="10" t="str">
        <x:f aca="0">IF(M47="","",IFERROR(INDEX(物品!$D$4:$D$103,MATCH(M47,物品!$B$4:$B$103,0)),""))</x:f>
        <x:v>日常用品</x:v>
      </x:c>
    </x:row>
    <x:row r="48" ht="15" hidden="0">
      <x:c r="A48" s="10" t="str">
        <x:v>P050</x:v>
      </x:c>
      <x:c r="B48" s="88" t="str">
        <x:v>工业化</x:v>
      </x:c>
      <x:c r="C48" s="6" t="str">
        <x:v>电机厂</x:v>
      </x:c>
      <x:c r="D48" s="13" t="str">
        <x:v>生产</x:v>
      </x:c>
      <x:c r="E48" s="6" t="str">
        <x:v>绕制电机</x:v>
      </x:c>
      <x:c r="F48" s="13" t="str">
        <x:v>新增</x:v>
      </x:c>
      <x:c r="G48" s="6" t="str">
        <x:v>铜线</x:v>
      </x:c>
      <x:c r="H48" s="21" t="str">
        <x:v>钢材</x:v>
      </x:c>
      <x:c r="I48" s="21" t="str">
        <x:v>机械零件</x:v>
      </x:c>
      <x:c r="J48" s="21"/>
      <x:c r="K48" s="21"/>
      <x:c r="L48" s="21"/>
      <x:c r="M48" s="6" t="str">
        <x:v>电机</x:v>
      </x:c>
      <x:c r="N48" s="21"/>
      <x:c r="O48" s="21"/>
      <x:c r="P48" s="13" t="str">
        <x:v>是</x:v>
      </x:c>
      <x:c r="Q48" s="21"/>
      <x:c r="R48" s="21"/>
      <x:c r="S48" s="10" t="str">
        <x:f aca="0">IF(M48="","",IFERROR(INDEX(物品!$D$4:$D$103,MATCH(M48,物品!$B$4:$B$103,0)),""))</x:f>
        <x:v>零部件</x:v>
      </x:c>
    </x:row>
    <x:row r="49" ht="15" hidden="0">
      <x:c r="A49" s="10" t="str">
        <x:v>P052</x:v>
      </x:c>
      <x:c r="B49" s="88" t="str">
        <x:v>工业化</x:v>
      </x:c>
      <x:c r="C49" s="6" t="str">
        <x:v>电器作坊</x:v>
      </x:c>
      <x:c r="D49" s="13" t="str">
        <x:v>生产</x:v>
      </x:c>
      <x:c r="E49" s="6" t="str">
        <x:v>制电气配件</x:v>
      </x:c>
      <x:c r="F49" s="13" t="str">
        <x:v>新增</x:v>
      </x:c>
      <x:c r="G49" s="6" t="str">
        <x:v>铜锭</x:v>
      </x:c>
      <x:c r="H49" s="21" t="str">
        <x:v>玻璃</x:v>
      </x:c>
      <x:c r="I49" s="21"/>
      <x:c r="J49" s="21"/>
      <x:c r="K49" s="21"/>
      <x:c r="L49" s="21"/>
      <x:c r="M49" s="6" t="str">
        <x:v>电气配件</x:v>
      </x:c>
      <x:c r="N49" s="21"/>
      <x:c r="O49" s="21"/>
      <x:c r="P49" s="13" t="str">
        <x:v>否</x:v>
      </x:c>
      <x:c r="Q49" s="21"/>
      <x:c r="R49" s="6"/>
      <x:c r="S49" s="10" t="str">
        <x:f aca="0">IF(M49="","",IFERROR(INDEX(物品!$D$4:$D$103,MATCH(M49,物品!$B$4:$B$103,0)),""))</x:f>
        <x:v>零部件</x:v>
      </x:c>
    </x:row>
    <x:row r="50" ht="15" hidden="0">
      <x:c r="A50" s="10" t="str">
        <x:v>P053</x:v>
      </x:c>
      <x:c r="B50" s="88" t="str">
        <x:v>工业化</x:v>
      </x:c>
      <x:c r="C50" s="6" t="str">
        <x:v>门窗厂</x:v>
      </x:c>
      <x:c r="D50" s="13" t="str">
        <x:v>生产</x:v>
      </x:c>
      <x:c r="E50" s="6" t="str">
        <x:v>制门窗</x:v>
      </x:c>
      <x:c r="F50" s="13" t="str">
        <x:v>新增</x:v>
      </x:c>
      <x:c r="G50" s="6" t="str">
        <x:v>木板</x:v>
      </x:c>
      <x:c r="H50" s="6" t="str">
        <x:v>玻璃</x:v>
      </x:c>
      <x:c r="I50" s="21" t="str">
        <x:v>紧固件</x:v>
      </x:c>
      <x:c r="J50" s="21"/>
      <x:c r="K50" s="21"/>
      <x:c r="L50" s="21"/>
      <x:c r="M50" s="6" t="str">
        <x:v>门窗</x:v>
      </x:c>
      <x:c r="N50" s="21"/>
      <x:c r="O50" s="21"/>
      <x:c r="P50" s="13" t="str">
        <x:v>否</x:v>
      </x:c>
      <x:c r="Q50" s="21"/>
      <x:c r="R50" s="21"/>
      <x:c r="S50" s="10" t="str">
        <x:f aca="0">IF(M50="","",IFERROR(INDEX(物品!$D$4:$D$103,MATCH(M50,物品!$B$4:$B$103,0)),""))</x:f>
        <x:v>零部件</x:v>
      </x:c>
    </x:row>
    <x:row r="51" ht="15" hidden="0">
      <x:c r="A51" s="10" t="str">
        <x:v>P054</x:v>
      </x:c>
      <x:c r="B51" s="88" t="str">
        <x:v>工业化</x:v>
      </x:c>
      <x:c r="C51" s="6" t="str">
        <x:v>灯泡厂</x:v>
      </x:c>
      <x:c r="D51" s="13" t="str">
        <x:v>生产</x:v>
      </x:c>
      <x:c r="E51" s="6" t="str">
        <x:v>制灯泡</x:v>
      </x:c>
      <x:c r="F51" s="13" t="str">
        <x:v>新增</x:v>
      </x:c>
      <x:c r="G51" s="6" t="str">
        <x:v>玻璃</x:v>
      </x:c>
      <x:c r="H51" s="6" t="str">
        <x:v>铜线</x:v>
      </x:c>
      <x:c r="I51" s="21"/>
      <x:c r="J51" s="21"/>
      <x:c r="K51" s="21"/>
      <x:c r="L51" s="21"/>
      <x:c r="M51" s="6" t="str">
        <x:v>灯泡</x:v>
      </x:c>
      <x:c r="N51" s="21"/>
      <x:c r="O51" s="21"/>
      <x:c r="P51" s="13" t="str">
        <x:v>否</x:v>
      </x:c>
      <x:c r="Q51" s="21"/>
      <x:c r="R51" s="21"/>
      <x:c r="S51" s="10" t="str">
        <x:f aca="0">IF(M51="","",IFERROR(INDEX(物品!$D$4:$D$103,MATCH(M51,物品!$B$4:$B$103,0)),""))</x:f>
        <x:v>日常用品</x:v>
      </x:c>
    </x:row>
    <x:row r="52" ht="15" hidden="0">
      <x:c r="A52" s="10" t="str">
        <x:v>P055</x:v>
      </x:c>
      <x:c r="B52" s="88" t="str">
        <x:v>工业化</x:v>
      </x:c>
      <x:c r="C52" s="6" t="str">
        <x:v>营造厂</x:v>
      </x:c>
      <x:c r="D52" s="13" t="str">
        <x:v>生产</x:v>
      </x:c>
      <x:c r="E52" s="6" t="str">
        <x:v>预制墙体</x:v>
      </x:c>
      <x:c r="F52" s="13" t="str">
        <x:v>新增</x:v>
      </x:c>
      <x:c r="G52" s="6" t="str">
        <x:v>砂岩</x:v>
      </x:c>
      <x:c r="H52" s="6" t="str">
        <x:v>燃料</x:v>
      </x:c>
      <x:c r="I52" s="6" t="str">
        <x:v>水泥</x:v>
      </x:c>
      <x:c r="J52" s="21"/>
      <x:c r="K52" s="21"/>
      <x:c r="L52" s="21"/>
      <x:c r="M52" s="6" t="str">
        <x:v>墙体</x:v>
      </x:c>
      <x:c r="N52" s="21"/>
      <x:c r="O52" s="21"/>
      <x:c r="P52" s="13" t="str">
        <x:v>否</x:v>
      </x:c>
      <x:c r="Q52" s="21"/>
      <x:c r="R52" s="6" t="str">
        <x:v>合并烧砖与预制墙体，直接投入砂岩、燃料和水泥。</x:v>
      </x:c>
      <x:c r="S52" s="10" t="str">
        <x:f aca="0">IF(M52="","",IFERROR(INDEX(物品!$D$4:$D$103,MATCH(M52,物品!$B$4:$B$103,0)),""))</x:f>
        <x:v>总成</x:v>
      </x:c>
    </x:row>
    <x:row r="53" ht="15" hidden="0">
      <x:c r="A53" s="10" t="str">
        <x:v>P057</x:v>
      </x:c>
      <x:c r="B53" s="88" t="str">
        <x:v>工业化</x:v>
      </x:c>
      <x:c r="C53" s="6" t="str">
        <x:v>营造厂</x:v>
      </x:c>
      <x:c r="D53" s="13" t="str">
        <x:v>生产</x:v>
      </x:c>
      <x:c r="E53" s="6" t="str">
        <x:v>装配水电系统</x:v>
      </x:c>
      <x:c r="F53" s="13" t="str">
        <x:v>新增</x:v>
      </x:c>
      <x:c r="G53" s="6" t="str">
        <x:v>管材</x:v>
      </x:c>
      <x:c r="H53" s="6" t="str">
        <x:v>铜线</x:v>
      </x:c>
      <x:c r="I53" s="6" t="str">
        <x:v>电气配件</x:v>
      </x:c>
      <x:c r="J53" s="21"/>
      <x:c r="K53" s="21"/>
      <x:c r="L53" s="21"/>
      <x:c r="M53" s="6" t="str">
        <x:v>水电系统</x:v>
      </x:c>
      <x:c r="N53" s="21"/>
      <x:c r="O53" s="21"/>
      <x:c r="P53" s="13" t="str">
        <x:v>否</x:v>
      </x:c>
      <x:c r="Q53" s="21"/>
      <x:c r="R53" s="21"/>
      <x:c r="S53" s="10" t="str">
        <x:f aca="0">IF(M53="","",IFERROR(INDEX(物品!$D$4:$D$103,MATCH(M53,物品!$B$4:$B$103,0)),""))</x:f>
        <x:v>总成</x:v>
      </x:c>
    </x:row>
    <x:row r="54" ht="15" hidden="0">
      <x:c r="A54" s="10" t="str">
        <x:v>P058</x:v>
      </x:c>
      <x:c r="B54" s="88" t="str">
        <x:v>工业化</x:v>
      </x:c>
      <x:c r="C54" s="6" t="str">
        <x:v>营造厂</x:v>
      </x:c>
      <x:c r="D54" s="13" t="str">
        <x:v>生产</x:v>
      </x:c>
      <x:c r="E54" s="6" t="str">
        <x:v>建砖房</x:v>
      </x:c>
      <x:c r="F54" s="13" t="str">
        <x:v>新增</x:v>
      </x:c>
      <x:c r="G54" s="6" t="str">
        <x:v>墙体</x:v>
      </x:c>
      <x:c r="H54" s="6" t="str">
        <x:v>屋顶</x:v>
      </x:c>
      <x:c r="I54" s="21" t="str">
        <x:v>门窗</x:v>
      </x:c>
      <x:c r="J54" s="21" t="str">
        <x:v>水电系统</x:v>
      </x:c>
      <x:c r="K54" s="21" t="str">
        <x:v>涂料</x:v>
      </x:c>
      <x:c r="L54" s="21" t="str">
        <x:v>保温层</x:v>
      </x:c>
      <x:c r="M54" s="6" t="str">
        <x:v>砖房</x:v>
      </x:c>
      <x:c r="N54" s="21"/>
      <x:c r="O54" s="21"/>
      <x:c r="P54" s="13" t="str">
        <x:v>否</x:v>
      </x:c>
      <x:c r="Q54" s="21"/>
      <x:c r="R54" s="6" t="str">
        <x:v>六种输入：大件靠足够多的中间产物拉动整条链。</x:v>
      </x:c>
      <x:c r="S54" s="10" t="str">
        <x:f aca="0">IF(M54="","",IFERROR(INDEX(物品!$D$4:$D$103,MATCH(M54,物品!$B$4:$B$103,0)),""))</x:f>
        <x:v>大件</x:v>
      </x:c>
    </x:row>
    <x:row r="55" ht="15" hidden="0">
      <x:c r="A55" s="10" t="str">
        <x:v>P059</x:v>
      </x:c>
      <x:c r="B55" s="88" t="str">
        <x:v>工业化</x:v>
      </x:c>
      <x:c r="C55" s="6" t="str">
        <x:v>铺管队</x:v>
      </x:c>
      <x:c r="D55" s="13" t="str">
        <x:v>生产</x:v>
      </x:c>
      <x:c r="E55" s="6" t="str">
        <x:v>铺设管网</x:v>
      </x:c>
      <x:c r="F55" s="13" t="str">
        <x:v>新增</x:v>
      </x:c>
      <x:c r="G55" s="6" t="str">
        <x:v>管材</x:v>
      </x:c>
      <x:c r="H55" s="6"/>
      <x:c r="I55" s="21"/>
      <x:c r="J55" s="21"/>
      <x:c r="K55" s="21"/>
      <x:c r="L55" s="21"/>
      <x:c r="M55" s="6" t="str">
        <x:v>管网</x:v>
      </x:c>
      <x:c r="N55" s="21"/>
      <x:c r="O55" s="21"/>
      <x:c r="P55" s="13" t="str">
        <x:v>否</x:v>
      </x:c>
      <x:c r="Q55" s="21"/>
      <x:c r="R55" s="21" t="str">
        <x:v>没有管网，砖房无法在家洗浴。</x:v>
      </x:c>
      <x:c r="S55" s="10" t="str">
        <x:f aca="0">IF(M55="","",IFERROR(INDEX(物品!$D$4:$D$103,MATCH(M55,物品!$B$4:$B$103,0)),""))</x:f>
        <x:v>基础设施</x:v>
      </x:c>
    </x:row>
    <x:row r="56" ht="15" hidden="0">
      <x:c r="A56" s="10" t="str">
        <x:v>P060</x:v>
      </x:c>
      <x:c r="B56" s="90" t="str">
        <x:v>现代</x:v>
      </x:c>
      <x:c r="C56" s="6" t="str">
        <x:v>炼油厂</x:v>
      </x:c>
      <x:c r="D56" s="13" t="str">
        <x:v>生产</x:v>
      </x:c>
      <x:c r="E56" s="6" t="str">
        <x:v>蒸馏</x:v>
      </x:c>
      <x:c r="F56" s="13" t="str">
        <x:v>新增</x:v>
      </x:c>
      <x:c r="G56" s="6" t="str">
        <x:v>原油</x:v>
      </x:c>
      <x:c r="H56" s="6"/>
      <x:c r="I56" s="6"/>
      <x:c r="J56" s="21"/>
      <x:c r="K56" s="21"/>
      <x:c r="L56" s="21"/>
      <x:c r="M56" s="6" t="str">
        <x:v>燃油</x:v>
      </x:c>
      <x:c r="N56" s="21" t="str">
        <x:v>石油气</x:v>
      </x:c>
      <x:c r="O56" s="21"/>
      <x:c r="P56" s="13" t="str">
        <x:v>否</x:v>
      </x:c>
      <x:c r="Q56" s="21"/>
      <x:c r="R56" s="21" t="str">
        <x:v>副产石油气必须有出路，否则堵塞。</x:v>
      </x:c>
      <x:c r="S56" s="10" t="str">
        <x:f aca="0">IF(M56="","",IFERROR(INDEX(物品!$D$4:$D$103,MATCH(M56,物品!$B$4:$B$103,0)),""))</x:f>
        <x:v>日常用品</x:v>
      </x:c>
    </x:row>
    <x:row r="57" ht="15" hidden="0">
      <x:c r="A57" s="10" t="str">
        <x:v>P061</x:v>
      </x:c>
      <x:c r="B57" s="90" t="str">
        <x:v>现代</x:v>
      </x:c>
      <x:c r="C57" s="6" t="str">
        <x:v>炼油厂</x:v>
      </x:c>
      <x:c r="D57" s="13" t="str">
        <x:v>生产</x:v>
      </x:c>
      <x:c r="E57" s="6" t="str">
        <x:v>提取沥青</x:v>
      </x:c>
      <x:c r="F57" s="13" t="str">
        <x:v>新增</x:v>
      </x:c>
      <x:c r="G57" s="6" t="str">
        <x:v>原油</x:v>
      </x:c>
      <x:c r="H57" s="6"/>
      <x:c r="I57" s="21"/>
      <x:c r="J57" s="21"/>
      <x:c r="K57" s="21"/>
      <x:c r="L57" s="21"/>
      <x:c r="M57" s="6" t="str">
        <x:v>沥青</x:v>
      </x:c>
      <x:c r="N57" s="21"/>
      <x:c r="O57" s="21"/>
      <x:c r="P57" s="13" t="str">
        <x:v>否</x:v>
      </x:c>
      <x:c r="Q57" s="21"/>
      <x:c r="R57" s="21"/>
      <x:c r="S57" s="10" t="str">
        <x:f aca="0">IF(M57="","",IFERROR(INDEX(物品!$D$4:$D$103,MATCH(M57,物品!$B$4:$B$103,0)),""))</x:f>
        <x:v>初级材料</x:v>
      </x:c>
    </x:row>
    <x:row r="58" ht="15" hidden="0">
      <x:c r="A58" s="10" t="str">
        <x:v>P062</x:v>
      </x:c>
      <x:c r="B58" s="90" t="str">
        <x:v>现代</x:v>
      </x:c>
      <x:c r="C58" s="6" t="str">
        <x:v>炼油厂</x:v>
      </x:c>
      <x:c r="D58" s="13" t="str">
        <x:v>生产</x:v>
      </x:c>
      <x:c r="E58" s="6" t="str">
        <x:v>调和润滑油</x:v>
      </x:c>
      <x:c r="F58" s="13" t="str">
        <x:v>新增</x:v>
      </x:c>
      <x:c r="G58" s="6" t="str">
        <x:v>燃油</x:v>
      </x:c>
      <x:c r="H58" s="6" t="str">
        <x:v>基础化学品</x:v>
      </x:c>
      <x:c r="I58" s="21"/>
      <x:c r="J58" s="21"/>
      <x:c r="K58" s="21"/>
      <x:c r="L58" s="21"/>
      <x:c r="M58" s="6" t="str">
        <x:v>润滑油</x:v>
      </x:c>
      <x:c r="N58" s="21"/>
      <x:c r="O58" s="21"/>
      <x:c r="P58" s="13" t="str">
        <x:v>否</x:v>
      </x:c>
      <x:c r="Q58" s="21"/>
      <x:c r="R58" s="21"/>
      <x:c r="S58" s="10" t="str">
        <x:f aca="0">IF(M58="","",IFERROR(INDEX(物品!$D$4:$D$103,MATCH(M58,物品!$B$4:$B$103,0)),""))</x:f>
        <x:v>日常用品</x:v>
      </x:c>
    </x:row>
    <x:row r="59" ht="15" hidden="0">
      <x:c r="A59" s="10" t="str">
        <x:v>P063</x:v>
      </x:c>
      <x:c r="B59" s="90" t="str">
        <x:v>现代</x:v>
      </x:c>
      <x:c r="C59" s="6" t="str">
        <x:v>化工厂</x:v>
      </x:c>
      <x:c r="D59" s="13" t="str">
        <x:v>生产</x:v>
      </x:c>
      <x:c r="E59" s="6" t="str">
        <x:v>石油化工</x:v>
      </x:c>
      <x:c r="F59" s="13" t="str">
        <x:v>新增</x:v>
      </x:c>
      <x:c r="G59" s="6" t="str">
        <x:v>石油气</x:v>
      </x:c>
      <x:c r="H59" s="6" t="str">
        <x:v>水</x:v>
      </x:c>
      <x:c r="I59" s="21"/>
      <x:c r="J59" s="21"/>
      <x:c r="K59" s="21"/>
      <x:c r="L59" s="21"/>
      <x:c r="M59" s="6" t="str">
        <x:v>基础化学品</x:v>
      </x:c>
      <x:c r="N59" s="21"/>
      <x:c r="O59" s="21"/>
      <x:c r="P59" s="13" t="str">
        <x:v>否</x:v>
      </x:c>
      <x:c r="Q59" s="21"/>
      <x:c r="R59" s="21" t="str">
        <x:v>替代煤化工路线。</x:v>
      </x:c>
      <x:c r="S59" s="10" t="str">
        <x:f aca="0">IF(M59="","",IFERROR(INDEX(物品!$D$4:$D$103,MATCH(M59,物品!$B$4:$B$103,0)),""))</x:f>
        <x:v>初级材料</x:v>
      </x:c>
    </x:row>
    <x:row r="60" ht="15" hidden="0">
      <x:c r="A60" s="10" t="str">
        <x:v>P064</x:v>
      </x:c>
      <x:c r="B60" s="90" t="str">
        <x:v>现代</x:v>
      </x:c>
      <x:c r="C60" s="6" t="str">
        <x:v>化工厂</x:v>
      </x:c>
      <x:c r="D60" s="13" t="str">
        <x:v>生产</x:v>
      </x:c>
      <x:c r="E60" s="6" t="str">
        <x:v>合成制冷剂</x:v>
      </x:c>
      <x:c r="F60" s="13" t="str">
        <x:v>新增</x:v>
      </x:c>
      <x:c r="G60" s="6" t="str">
        <x:v>基础化学品</x:v>
      </x:c>
      <x:c r="H60" s="6" t="str">
        <x:v>石油气</x:v>
      </x:c>
      <x:c r="I60" s="6"/>
      <x:c r="J60" s="21"/>
      <x:c r="K60" s="21"/>
      <x:c r="L60" s="21"/>
      <x:c r="M60" s="6" t="str">
        <x:v>制冷剂</x:v>
      </x:c>
      <x:c r="N60" s="21"/>
      <x:c r="O60" s="21"/>
      <x:c r="P60" s="13" t="str">
        <x:v>否</x:v>
      </x:c>
      <x:c r="Q60" s="21"/>
      <x:c r="R60" s="21"/>
      <x:c r="S60" s="10" t="str">
        <x:f aca="0">IF(M60="","",IFERROR(INDEX(物品!$D$4:$D$103,MATCH(M60,物品!$B$4:$B$103,0)),""))</x:f>
        <x:v>零部件</x:v>
      </x:c>
    </x:row>
    <x:row r="61" ht="15" hidden="0">
      <x:c r="A61" s="10" t="str">
        <x:v>P065</x:v>
      </x:c>
      <x:c r="B61" s="90" t="str">
        <x:v>现代</x:v>
      </x:c>
      <x:c r="C61" s="6" t="str">
        <x:v>塑料厂</x:v>
      </x:c>
      <x:c r="D61" s="13" t="str">
        <x:v>生产</x:v>
      </x:c>
      <x:c r="E61" s="6" t="str">
        <x:v>聚合</x:v>
      </x:c>
      <x:c r="F61" s="13" t="str">
        <x:v>新增</x:v>
      </x:c>
      <x:c r="G61" s="6" t="str">
        <x:v>石油气</x:v>
      </x:c>
      <x:c r="H61" s="6" t="str">
        <x:v>基础化学品</x:v>
      </x:c>
      <x:c r="I61" s="6"/>
      <x:c r="J61" s="6"/>
      <x:c r="K61" s="6"/>
      <x:c r="L61" s="6"/>
      <x:c r="M61" s="6" t="str">
        <x:v>塑料</x:v>
      </x:c>
      <x:c r="N61" s="21"/>
      <x:c r="O61" s="21"/>
      <x:c r="P61" s="13" t="str">
        <x:v>是</x:v>
      </x:c>
      <x:c r="Q61" s="21"/>
      <x:c r="R61" s="6"/>
      <x:c r="S61" s="10" t="str">
        <x:f aca="0">IF(M61="","",IFERROR(INDEX(物品!$D$4:$D$103,MATCH(M61,物品!$B$4:$B$103,0)),""))</x:f>
        <x:v>初级材料</x:v>
      </x:c>
    </x:row>
    <x:row r="62" ht="15" hidden="0">
      <x:c r="A62" s="10" t="str">
        <x:v>P066</x:v>
      </x:c>
      <x:c r="B62" s="90" t="str">
        <x:v>现代</x:v>
      </x:c>
      <x:c r="C62" s="6" t="str">
        <x:v>塑料厂</x:v>
      </x:c>
      <x:c r="D62" s="13" t="str">
        <x:v>生产</x:v>
      </x:c>
      <x:c r="E62" s="6" t="str">
        <x:v>发泡</x:v>
      </x:c>
      <x:c r="F62" s="13" t="str">
        <x:v>新增</x:v>
      </x:c>
      <x:c r="G62" s="6" t="str">
        <x:v>塑料</x:v>
      </x:c>
      <x:c r="H62" s="21"/>
      <x:c r="I62" s="21"/>
      <x:c r="J62" s="21"/>
      <x:c r="K62" s="21"/>
      <x:c r="L62" s="21"/>
      <x:c r="M62" s="6" t="str">
        <x:v>保温层</x:v>
      </x:c>
      <x:c r="N62" s="21"/>
      <x:c r="O62" s="21"/>
      <x:c r="P62" s="13" t="str">
        <x:v>是</x:v>
      </x:c>
      <x:c r="Q62" s="21"/>
      <x:c r="R62" s="6" t="str">
        <x:v>泡沫保温层，替代羊毛毡。</x:v>
      </x:c>
      <x:c r="S62" s="10" t="str">
        <x:f aca="0">IF(M62="","",IFERROR(INDEX(物品!$D$4:$D$103,MATCH(M62,物品!$B$4:$B$103,0)),""))</x:f>
        <x:v>零部件</x:v>
      </x:c>
    </x:row>
    <x:row r="63" ht="15" hidden="0">
      <x:c r="A63" s="10" t="str">
        <x:v>P067</x:v>
      </x:c>
      <x:c r="B63" s="90" t="str">
        <x:v>现代</x:v>
      </x:c>
      <x:c r="C63" s="6" t="str">
        <x:v>塑料厂</x:v>
      </x:c>
      <x:c r="D63" s="13" t="str">
        <x:v>生产</x:v>
      </x:c>
      <x:c r="E63" s="6" t="str">
        <x:v>制塑料管材</x:v>
      </x:c>
      <x:c r="F63" s="13" t="str">
        <x:v>新增</x:v>
      </x:c>
      <x:c r="G63" s="6" t="str">
        <x:v>塑料</x:v>
      </x:c>
      <x:c r="H63" s="21"/>
      <x:c r="I63" s="21"/>
      <x:c r="J63" s="21"/>
      <x:c r="K63" s="21"/>
      <x:c r="L63" s="21"/>
      <x:c r="M63" s="6" t="str">
        <x:v>管材</x:v>
      </x:c>
      <x:c r="N63" s="6"/>
      <x:c r="O63" s="21"/>
      <x:c r="P63" s="13" t="str">
        <x:v>是</x:v>
      </x:c>
      <x:c r="Q63" s="21"/>
      <x:c r="R63" s="6" t="str">
        <x:v>塑料路线；与钢制管材路线互为替代。</x:v>
      </x:c>
      <x:c r="S63" s="10" t="str">
        <x:f aca="0">IF(M63="","",IFERROR(INDEX(物品!$D$4:$D$103,MATCH(M63,物品!$B$4:$B$103,0)),""))</x:f>
        <x:v>零部件</x:v>
      </x:c>
    </x:row>
    <x:row r="64" ht="15" hidden="0">
      <x:c r="A64" s="10" t="str">
        <x:v>P068</x:v>
      </x:c>
      <x:c r="B64" s="90" t="str">
        <x:v>现代</x:v>
      </x:c>
      <x:c r="C64" s="6" t="str">
        <x:v>塑料厂</x:v>
      </x:c>
      <x:c r="D64" s="13" t="str">
        <x:v>生产</x:v>
      </x:c>
      <x:c r="E64" s="6" t="str">
        <x:v>制食品盒</x:v>
      </x:c>
      <x:c r="F64" s="13" t="str">
        <x:v>新增</x:v>
      </x:c>
      <x:c r="G64" s="6" t="str">
        <x:v>塑料</x:v>
      </x:c>
      <x:c r="H64" s="21"/>
      <x:c r="I64" s="21"/>
      <x:c r="J64" s="21"/>
      <x:c r="K64" s="21"/>
      <x:c r="L64" s="21"/>
      <x:c r="M64" s="6" t="str">
        <x:v>食品盒</x:v>
      </x:c>
      <x:c r="N64" s="21"/>
      <x:c r="O64" s="21"/>
      <x:c r="P64" s="13" t="str">
        <x:v>是</x:v>
      </x:c>
      <x:c r="Q64" s="21"/>
      <x:c r="R64" s="21"/>
      <x:c r="S64" s="10" t="str">
        <x:f aca="0">IF(M64="","",IFERROR(INDEX(物品!$D$4:$D$103,MATCH(M64,物品!$B$4:$B$103,0)),""))</x:f>
        <x:v>日常用品</x:v>
      </x:c>
    </x:row>
    <x:row r="65" ht="15" hidden="0">
      <x:c r="A65" s="10" t="str">
        <x:v>P069</x:v>
      </x:c>
      <x:c r="B65" s="90" t="str">
        <x:v>现代</x:v>
      </x:c>
      <x:c r="C65" s="6" t="str">
        <x:v>橡胶厂</x:v>
      </x:c>
      <x:c r="D65" s="13" t="str">
        <x:v>生产</x:v>
      </x:c>
      <x:c r="E65" s="6" t="str">
        <x:v>合成橡胶</x:v>
      </x:c>
      <x:c r="F65" s="13" t="str">
        <x:v>新增</x:v>
      </x:c>
      <x:c r="G65" s="6" t="str">
        <x:v>石油气</x:v>
      </x:c>
      <x:c r="H65" s="6" t="str">
        <x:v>煤</x:v>
      </x:c>
      <x:c r="I65" s="21"/>
      <x:c r="J65" s="21"/>
      <x:c r="K65" s="21"/>
      <x:c r="L65" s="21"/>
      <x:c r="M65" s="6" t="str">
        <x:v>合成橡胶</x:v>
      </x:c>
      <x:c r="N65" s="21"/>
      <x:c r="O65" s="21"/>
      <x:c r="P65" s="13" t="str">
        <x:v>是</x:v>
      </x:c>
      <x:c r="Q65" s="21"/>
      <x:c r="R65" s="21"/>
      <x:c r="S65" s="10" t="str">
        <x:f aca="0">IF(M65="","",IFERROR(INDEX(物品!$D$4:$D$103,MATCH(M65,物品!$B$4:$B$103,0)),""))</x:f>
        <x:v>初级材料</x:v>
      </x:c>
    </x:row>
    <x:row r="66" ht="15" hidden="0">
      <x:c r="A66" s="10" t="str">
        <x:v>P070</x:v>
      </x:c>
      <x:c r="B66" s="90" t="str">
        <x:v>现代</x:v>
      </x:c>
      <x:c r="C66" s="6" t="str">
        <x:v>电解铝厂</x:v>
      </x:c>
      <x:c r="D66" s="13" t="str">
        <x:v>生产</x:v>
      </x:c>
      <x:c r="E66" s="6" t="str">
        <x:v>电解</x:v>
      </x:c>
      <x:c r="F66" s="13" t="str">
        <x:v>新增</x:v>
      </x:c>
      <x:c r="G66" s="6" t="str">
        <x:v>铝土</x:v>
      </x:c>
      <x:c r="H66" s="6"/>
      <x:c r="I66" s="21"/>
      <x:c r="J66" s="21"/>
      <x:c r="K66" s="21"/>
      <x:c r="L66" s="21"/>
      <x:c r="M66" s="6" t="str">
        <x:v>铝材</x:v>
      </x:c>
      <x:c r="N66" s="21"/>
      <x:c r="O66" s="21"/>
      <x:c r="P66" s="13" t="str">
        <x:v>是</x:v>
      </x:c>
      <x:c r="Q66" s="21"/>
      <x:c r="R66" s="6" t="str">
        <x:v>极耗电：电力本身成了原料。</x:v>
      </x:c>
      <x:c r="S66" s="10" t="str">
        <x:f aca="0">IF(M66="","",IFERROR(INDEX(物品!$D$4:$D$103,MATCH(M66,物品!$B$4:$B$103,0)),""))</x:f>
        <x:v>初级材料</x:v>
      </x:c>
    </x:row>
    <x:row r="67" ht="15" hidden="0">
      <x:c r="A67" s="10" t="str">
        <x:v>P072</x:v>
      </x:c>
      <x:c r="B67" s="90" t="str">
        <x:v>现代</x:v>
      </x:c>
      <x:c r="C67" s="6" t="str">
        <x:v>芯片厂</x:v>
      </x:c>
      <x:c r="D67" s="13" t="str">
        <x:v>生产</x:v>
      </x:c>
      <x:c r="E67" s="6" t="str">
        <x:v>制芯片</x:v>
      </x:c>
      <x:c r="F67" s="13" t="str">
        <x:v>新增</x:v>
      </x:c>
      <x:c r="G67" s="6" t="str">
        <x:v>硅砂</x:v>
      </x:c>
      <x:c r="H67" s="6" t="str">
        <x:v>铜线</x:v>
      </x:c>
      <x:c r="I67" s="21"/>
      <x:c r="J67" s="21"/>
      <x:c r="K67" s="21"/>
      <x:c r="L67" s="21"/>
      <x:c r="M67" s="6" t="str">
        <x:v>芯片</x:v>
      </x:c>
      <x:c r="N67" s="21"/>
      <x:c r="O67" s="21"/>
      <x:c r="P67" s="13" t="str">
        <x:v>是</x:v>
      </x:c>
      <x:c r="Q67" s="21"/>
      <x:c r="R67" s="21" t="str">
        <x:v>由硅砂直接加工芯片，省去独立硅冶炼。</x:v>
      </x:c>
      <x:c r="S67" s="10" t="str">
        <x:f aca="0">IF(M67="","",IFERROR(INDEX(物品!$D$4:$D$103,MATCH(M67,物品!$B$4:$B$103,0)),""))</x:f>
        <x:v>零部件</x:v>
      </x:c>
    </x:row>
    <x:row r="68" ht="15" hidden="0">
      <x:c r="A68" s="10" t="str">
        <x:v>P073</x:v>
      </x:c>
      <x:c r="B68" s="90" t="str">
        <x:v>现代</x:v>
      </x:c>
      <x:c r="C68" s="6" t="str">
        <x:v>电子厂</x:v>
      </x:c>
      <x:c r="D68" s="13" t="str">
        <x:v>生产</x:v>
      </x:c>
      <x:c r="E68" s="6" t="str">
        <x:v>制电路板</x:v>
      </x:c>
      <x:c r="F68" s="13" t="str">
        <x:v>新增</x:v>
      </x:c>
      <x:c r="G68" s="6" t="str">
        <x:v>塑料</x:v>
      </x:c>
      <x:c r="H68" s="6" t="str">
        <x:v>铜线</x:v>
      </x:c>
      <x:c r="I68" s="21" t="str">
        <x:v>芯片</x:v>
      </x:c>
      <x:c r="J68" s="21"/>
      <x:c r="K68" s="21"/>
      <x:c r="L68" s="21"/>
      <x:c r="M68" s="6" t="str">
        <x:v>电路板</x:v>
      </x:c>
      <x:c r="N68" s="21"/>
      <x:c r="O68" s="21"/>
      <x:c r="P68" s="13" t="str">
        <x:v>是</x:v>
      </x:c>
      <x:c r="Q68" s="21"/>
      <x:c r="R68" s="21"/>
      <x:c r="S68" s="10" t="str">
        <x:f aca="0">IF(M68="","",IFERROR(INDEX(物品!$D$4:$D$103,MATCH(M68,物品!$B$4:$B$103,0)),""))</x:f>
        <x:v>零部件</x:v>
      </x:c>
    </x:row>
    <x:row r="69" ht="15" hidden="0">
      <x:c r="A69" s="10" t="str">
        <x:v>P074</x:v>
      </x:c>
      <x:c r="B69" s="90" t="str">
        <x:v>现代</x:v>
      </x:c>
      <x:c r="C69" s="6" t="str">
        <x:v>电子厂</x:v>
      </x:c>
      <x:c r="D69" s="13" t="str">
        <x:v>生产</x:v>
      </x:c>
      <x:c r="E69" s="6" t="str">
        <x:v>制显示屏</x:v>
      </x:c>
      <x:c r="F69" s="13" t="str">
        <x:v>新增</x:v>
      </x:c>
      <x:c r="G69" s="6" t="str">
        <x:v>玻璃</x:v>
      </x:c>
      <x:c r="H69" s="21" t="str">
        <x:v>芯片</x:v>
      </x:c>
      <x:c r="I69" s="21"/>
      <x:c r="J69" s="21"/>
      <x:c r="K69" s="21"/>
      <x:c r="L69" s="21"/>
      <x:c r="M69" s="6" t="str">
        <x:v>显示屏</x:v>
      </x:c>
      <x:c r="N69" s="21"/>
      <x:c r="O69" s="21"/>
      <x:c r="P69" s="13" t="str">
        <x:v>是</x:v>
      </x:c>
      <x:c r="Q69" s="21"/>
      <x:c r="R69" s="6"/>
      <x:c r="S69" s="10" t="str">
        <x:f aca="0">IF(M69="","",IFERROR(INDEX(物品!$D$4:$D$103,MATCH(M69,物品!$B$4:$B$103,0)),""))</x:f>
        <x:v>零部件</x:v>
      </x:c>
    </x:row>
    <x:row r="70" ht="15" hidden="0">
      <x:c r="A70" s="10" t="str">
        <x:v>P075</x:v>
      </x:c>
      <x:c r="B70" s="90" t="str">
        <x:v>现代</x:v>
      </x:c>
      <x:c r="C70" s="6" t="str">
        <x:v>混凝土厂</x:v>
      </x:c>
      <x:c r="D70" s="13" t="str">
        <x:v>生产</x:v>
      </x:c>
      <x:c r="E70" s="6" t="str">
        <x:v>搅拌</x:v>
      </x:c>
      <x:c r="F70" s="13" t="str">
        <x:v>新增</x:v>
      </x:c>
      <x:c r="G70" s="6" t="str">
        <x:v>水泥</x:v>
      </x:c>
      <x:c r="H70" s="21" t="str">
        <x:v>花岗岩</x:v>
      </x:c>
      <x:c r="I70" s="21" t="str">
        <x:v>水</x:v>
      </x:c>
      <x:c r="J70" s="21"/>
      <x:c r="K70" s="21"/>
      <x:c r="L70" s="21"/>
      <x:c r="M70" s="6" t="str">
        <x:v>混凝土</x:v>
      </x:c>
      <x:c r="N70" s="21"/>
      <x:c r="O70" s="21"/>
      <x:c r="P70" s="13" t="str">
        <x:v>是</x:v>
      </x:c>
      <x:c r="Q70" s="21"/>
      <x:c r="R70" s="21"/>
      <x:c r="S70" s="10" t="str">
        <x:f aca="0">IF(M70="","",IFERROR(INDEX(物品!$D$4:$D$103,MATCH(M70,物品!$B$4:$B$103,0)),""))</x:f>
        <x:v>初级材料</x:v>
      </x:c>
    </x:row>
    <x:row r="71" ht="15" hidden="0">
      <x:c r="A71" s="10" t="str">
        <x:v>P076</x:v>
      </x:c>
      <x:c r="B71" s="90" t="str">
        <x:v>现代</x:v>
      </x:c>
      <x:c r="C71" s="6" t="str">
        <x:v>营造厂</x:v>
      </x:c>
      <x:c r="D71" s="13" t="str">
        <x:v>生产</x:v>
      </x:c>
      <x:c r="E71" s="6" t="str">
        <x:v>浇筑结构</x:v>
      </x:c>
      <x:c r="F71" s="13" t="str">
        <x:v>新增</x:v>
      </x:c>
      <x:c r="G71" s="6" t="str">
        <x:v>混凝土</x:v>
      </x:c>
      <x:c r="H71" s="21" t="str">
        <x:v>钢材</x:v>
      </x:c>
      <x:c r="I71" s="21"/>
      <x:c r="J71" s="21"/>
      <x:c r="K71" s="21"/>
      <x:c r="L71" s="21"/>
      <x:c r="M71" s="6" t="str">
        <x:v>混凝土结构</x:v>
      </x:c>
      <x:c r="N71" s="21"/>
      <x:c r="O71" s="21"/>
      <x:c r="P71" s="13" t="str">
        <x:v>否</x:v>
      </x:c>
      <x:c r="Q71" s="21"/>
      <x:c r="R71" s="21"/>
      <x:c r="S71" s="10" t="str">
        <x:f aca="0">IF(M71="","",IFERROR(INDEX(物品!$D$4:$D$103,MATCH(M71,物品!$B$4:$B$103,0)),""))</x:f>
        <x:v>总成</x:v>
      </x:c>
    </x:row>
    <x:row r="72" ht="15" hidden="0">
      <x:c r="A72" s="10" t="str">
        <x:v>P077</x:v>
      </x:c>
      <x:c r="B72" s="90" t="str">
        <x:v>现代</x:v>
      </x:c>
      <x:c r="C72" s="6" t="str">
        <x:v>电梯厂</x:v>
      </x:c>
      <x:c r="D72" s="13" t="str">
        <x:v>生产</x:v>
      </x:c>
      <x:c r="E72" s="6" t="str">
        <x:v>装配电梯</x:v>
      </x:c>
      <x:c r="F72" s="13" t="str">
        <x:v>新增</x:v>
      </x:c>
      <x:c r="G72" s="6" t="str">
        <x:v>电机</x:v>
      </x:c>
      <x:c r="H72" s="6" t="str">
        <x:v>钢材</x:v>
      </x:c>
      <x:c r="I72" s="21" t="str">
        <x:v>电路板</x:v>
      </x:c>
      <x:c r="J72" s="21"/>
      <x:c r="K72" s="21"/>
      <x:c r="L72" s="21"/>
      <x:c r="M72" s="6" t="str">
        <x:v>电梯</x:v>
      </x:c>
      <x:c r="N72" s="21"/>
      <x:c r="O72" s="21"/>
      <x:c r="P72" s="13" t="str">
        <x:v>是</x:v>
      </x:c>
      <x:c r="Q72" s="21"/>
      <x:c r="R72" s="21"/>
      <x:c r="S72" s="10" t="str">
        <x:f aca="0">IF(M72="","",IFERROR(INDEX(物品!$D$4:$D$103,MATCH(M72,物品!$B$4:$B$103,0)),""))</x:f>
        <x:v>零部件</x:v>
      </x:c>
    </x:row>
    <x:row r="73" ht="15" hidden="0">
      <x:c r="A73" s="10" t="str">
        <x:v>P078</x:v>
      </x:c>
      <x:c r="B73" s="90" t="str">
        <x:v>现代</x:v>
      </x:c>
      <x:c r="C73" s="6" t="str">
        <x:v>营造厂</x:v>
      </x:c>
      <x:c r="D73" s="13" t="str">
        <x:v>生产</x:v>
      </x:c>
      <x:c r="E73" s="6" t="str">
        <x:v>建混凝土公寓</x:v>
      </x:c>
      <x:c r="F73" s="13" t="str">
        <x:v>新增</x:v>
      </x:c>
      <x:c r="G73" s="6" t="str">
        <x:v>混凝土结构</x:v>
      </x:c>
      <x:c r="H73" s="21" t="str">
        <x:v>门窗</x:v>
      </x:c>
      <x:c r="I73" s="21" t="str">
        <x:v>水电系统</x:v>
      </x:c>
      <x:c r="J73" s="21" t="str">
        <x:v>涂料</x:v>
      </x:c>
      <x:c r="K73" s="21" t="str">
        <x:v>保温层</x:v>
      </x:c>
      <x:c r="L73" s="21" t="str">
        <x:v>电梯</x:v>
      </x:c>
      <x:c r="M73" s="6" t="str">
        <x:v>混凝土公寓</x:v>
      </x:c>
      <x:c r="N73" s="21"/>
      <x:c r="O73" s="21"/>
      <x:c r="P73" s="13" t="str">
        <x:v>否</x:v>
      </x:c>
      <x:c r="Q73" s="21"/>
      <x:c r="R73" s="6" t="str">
        <x:v>六种输入，其中电梯是新增的维护负担。</x:v>
      </x:c>
      <x:c r="S73" s="10" t="str">
        <x:f aca="0">IF(M73="","",IFERROR(INDEX(物品!$D$4:$D$103,MATCH(M73,物品!$B$4:$B$103,0)),""))</x:f>
        <x:v>大件</x:v>
      </x:c>
    </x:row>
    <x:row r="74" ht="15" hidden="0">
      <x:c r="A74" s="10" t="str">
        <x:v>P079</x:v>
      </x:c>
      <x:c r="B74" s="90" t="str">
        <x:v>现代</x:v>
      </x:c>
      <x:c r="C74" s="6" t="str">
        <x:v>筑路队</x:v>
      </x:c>
      <x:c r="D74" s="13" t="str">
        <x:v>生产</x:v>
      </x:c>
      <x:c r="E74" s="6" t="str">
        <x:v>铺路</x:v>
      </x:c>
      <x:c r="F74" s="13" t="str">
        <x:v>新增</x:v>
      </x:c>
      <x:c r="G74" s="6" t="str">
        <x:v>沥青</x:v>
      </x:c>
      <x:c r="H74" s="21" t="str">
        <x:v>花岗岩</x:v>
      </x:c>
      <x:c r="I74" s="21"/>
      <x:c r="J74" s="21"/>
      <x:c r="K74" s="21"/>
      <x:c r="L74" s="21"/>
      <x:c r="M74" s="6" t="str">
        <x:v>公路</x:v>
      </x:c>
      <x:c r="N74" s="21"/>
      <x:c r="O74" s="21"/>
      <x:c r="P74" s="13" t="str">
        <x:v>否</x:v>
      </x:c>
      <x:c r="Q74" s="21"/>
      <x:c r="R74" s="21" t="str">
        <x:v>汽车使用的前提。</x:v>
      </x:c>
      <x:c r="S74" s="10" t="str">
        <x:f aca="0">IF(M74="","",IFERROR(INDEX(物品!$D$4:$D$103,MATCH(M74,物品!$B$4:$B$103,0)),""))</x:f>
        <x:v>基础设施</x:v>
      </x:c>
    </x:row>
    <x:row r="75" ht="15" hidden="0">
      <x:c r="A75" s="10" t="str">
        <x:v>P080</x:v>
      </x:c>
      <x:c r="B75" s="90" t="str">
        <x:v>现代</x:v>
      </x:c>
      <x:c r="C75" s="6" t="str">
        <x:v>轮胎厂</x:v>
      </x:c>
      <x:c r="D75" s="13" t="str">
        <x:v>生产</x:v>
      </x:c>
      <x:c r="E75" s="6" t="str">
        <x:v>硫化</x:v>
      </x:c>
      <x:c r="F75" s="13" t="str">
        <x:v>新增</x:v>
      </x:c>
      <x:c r="G75" s="6" t="str">
        <x:v>合成橡胶</x:v>
      </x:c>
      <x:c r="H75" s="6" t="str">
        <x:v>钢材</x:v>
      </x:c>
      <x:c r="I75" s="21"/>
      <x:c r="J75" s="21"/>
      <x:c r="K75" s="21"/>
      <x:c r="L75" s="21"/>
      <x:c r="M75" s="6" t="str">
        <x:v>轮胎</x:v>
      </x:c>
      <x:c r="N75" s="21"/>
      <x:c r="O75" s="21"/>
      <x:c r="P75" s="13" t="str">
        <x:v>是</x:v>
      </x:c>
      <x:c r="Q75" s="21"/>
      <x:c r="R75" s="21"/>
      <x:c r="S75" s="10" t="str">
        <x:f aca="0">IF(M75="","",IFERROR(INDEX(物品!$D$4:$D$103,MATCH(M75,物品!$B$4:$B$103,0)),""))</x:f>
        <x:v>零部件</x:v>
      </x:c>
    </x:row>
    <x:row r="76" ht="15" hidden="0">
      <x:c r="A76" s="10" t="str">
        <x:v>P081</x:v>
      </x:c>
      <x:c r="B76" s="90" t="str">
        <x:v>现代</x:v>
      </x:c>
      <x:c r="C76" s="6" t="str">
        <x:v>电池厂</x:v>
      </x:c>
      <x:c r="D76" s="13" t="str">
        <x:v>生产</x:v>
      </x:c>
      <x:c r="E76" s="6" t="str">
        <x:v>装配蓄电池</x:v>
      </x:c>
      <x:c r="F76" s="13" t="str">
        <x:v>新增</x:v>
      </x:c>
      <x:c r="G76" s="6" t="str">
        <x:v>铜锭</x:v>
      </x:c>
      <x:c r="H76" s="6" t="str">
        <x:v>基础化学品</x:v>
      </x:c>
      <x:c r="I76" s="6" t="str">
        <x:v>塑料</x:v>
      </x:c>
      <x:c r="J76" s="21"/>
      <x:c r="K76" s="21"/>
      <x:c r="L76" s="21"/>
      <x:c r="M76" s="6" t="str">
        <x:v>蓄电池</x:v>
      </x:c>
      <x:c r="N76" s="21"/>
      <x:c r="O76" s="21"/>
      <x:c r="P76" s="13" t="str">
        <x:v>是</x:v>
      </x:c>
      <x:c r="Q76" s="21"/>
      <x:c r="R76" s="21"/>
      <x:c r="S76" s="10" t="str">
        <x:f aca="0">IF(M76="","",IFERROR(INDEX(物品!$D$4:$D$103,MATCH(M76,物品!$B$4:$B$103,0)),""))</x:f>
        <x:v>零部件</x:v>
      </x:c>
    </x:row>
    <x:row r="77" ht="15" hidden="0">
      <x:c r="A77" s="10" t="str">
        <x:v>P082</x:v>
      </x:c>
      <x:c r="B77" s="90" t="str">
        <x:v>现代</x:v>
      </x:c>
      <x:c r="C77" s="6" t="str">
        <x:v>动力装置厂</x:v>
      </x:c>
      <x:c r="D77" s="13" t="str">
        <x:v>生产</x:v>
      </x:c>
      <x:c r="E77" s="6" t="str">
        <x:v>装配动力装置</x:v>
      </x:c>
      <x:c r="F77" s="13" t="str">
        <x:v>新增</x:v>
      </x:c>
      <x:c r="G77" s="6" t="str">
        <x:v>钢材</x:v>
      </x:c>
      <x:c r="H77" s="6" t="str">
        <x:v>铝材</x:v>
      </x:c>
      <x:c r="I77" s="21" t="str">
        <x:v>机械零件</x:v>
      </x:c>
      <x:c r="J77" s="21"/>
      <x:c r="K77" s="21"/>
      <x:c r="L77" s="21"/>
      <x:c r="M77" s="6" t="str">
        <x:v>动力装置</x:v>
      </x:c>
      <x:c r="N77" s="21"/>
      <x:c r="O77" s="21"/>
      <x:c r="P77" s="13" t="str">
        <x:v>是</x:v>
      </x:c>
      <x:c r="Q77" s="21"/>
      <x:c r="R77" s="21" t="str">
        <x:v>合并发动机、变速箱和动力总成；不再需要二次总成装配。</x:v>
      </x:c>
      <x:c r="S77" s="10" t="str">
        <x:f aca="0">IF(M77="","",IFERROR(INDEX(物品!$D$4:$D$103,MATCH(M77,物品!$B$4:$B$103,0)),""))</x:f>
        <x:v>总成</x:v>
      </x:c>
    </x:row>
    <x:row r="78" ht="15" hidden="0">
      <x:c r="A78" s="10" t="str">
        <x:v>P085</x:v>
      </x:c>
      <x:c r="B78" s="90" t="str">
        <x:v>现代</x:v>
      </x:c>
      <x:c r="C78" s="6" t="str">
        <x:v>总成厂</x:v>
      </x:c>
      <x:c r="D78" s="13" t="str">
        <x:v>生产</x:v>
      </x:c>
      <x:c r="E78" s="6" t="str">
        <x:v>装配底盘</x:v>
      </x:c>
      <x:c r="F78" s="13" t="str">
        <x:v>新增</x:v>
      </x:c>
      <x:c r="G78" s="6" t="str">
        <x:v>轮胎</x:v>
      </x:c>
      <x:c r="H78" s="6" t="str">
        <x:v>机械零件</x:v>
      </x:c>
      <x:c r="I78" s="6" t="str">
        <x:v>钢材</x:v>
      </x:c>
      <x:c r="J78" s="21"/>
      <x:c r="K78" s="21"/>
      <x:c r="L78" s="21"/>
      <x:c r="M78" s="6" t="str">
        <x:v>底盘</x:v>
      </x:c>
      <x:c r="N78" s="21"/>
      <x:c r="O78" s="21"/>
      <x:c r="P78" s="13" t="str">
        <x:v>是</x:v>
      </x:c>
      <x:c r="Q78" s="21"/>
      <x:c r="R78" s="21"/>
      <x:c r="S78" s="10" t="str">
        <x:f aca="0">IF(M78="","",IFERROR(INDEX(物品!$D$4:$D$103,MATCH(M78,物品!$B$4:$B$103,0)),""))</x:f>
        <x:v>总成</x:v>
      </x:c>
    </x:row>
    <x:row r="79" ht="15" hidden="0">
      <x:c r="A79" s="10" t="str">
        <x:v>P086</x:v>
      </x:c>
      <x:c r="B79" s="90" t="str">
        <x:v>现代</x:v>
      </x:c>
      <x:c r="C79" s="6" t="str">
        <x:v>总成厂</x:v>
      </x:c>
      <x:c r="D79" s="13" t="str">
        <x:v>生产</x:v>
      </x:c>
      <x:c r="E79" s="6" t="str">
        <x:v>装配车载电气</x:v>
      </x:c>
      <x:c r="F79" s="13" t="str">
        <x:v>新增</x:v>
      </x:c>
      <x:c r="G79" s="6" t="str">
        <x:v>蓄电池</x:v>
      </x:c>
      <x:c r="H79" s="6" t="str">
        <x:v>电路板</x:v>
      </x:c>
      <x:c r="I79" s="21" t="str">
        <x:v>铜线</x:v>
      </x:c>
      <x:c r="J79" s="21"/>
      <x:c r="K79" s="21"/>
      <x:c r="L79" s="21"/>
      <x:c r="M79" s="6" t="str">
        <x:v>车载电气</x:v>
      </x:c>
      <x:c r="N79" s="21"/>
      <x:c r="O79" s="21"/>
      <x:c r="P79" s="13" t="str">
        <x:v>是</x:v>
      </x:c>
      <x:c r="Q79" s="21"/>
      <x:c r="R79" s="21"/>
      <x:c r="S79" s="10" t="str">
        <x:f aca="0">IF(M79="","",IFERROR(INDEX(物品!$D$4:$D$103,MATCH(M79,物品!$B$4:$B$103,0)),""))</x:f>
        <x:v>总成</x:v>
      </x:c>
    </x:row>
    <x:row r="80" ht="15" hidden="0">
      <x:c r="A80" s="10" t="str">
        <x:v>P088</x:v>
      </x:c>
      <x:c r="B80" s="90" t="str">
        <x:v>现代</x:v>
      </x:c>
      <x:c r="C80" s="6" t="str">
        <x:v>钣金厂</x:v>
      </x:c>
      <x:c r="D80" s="13" t="str">
        <x:v>生产</x:v>
      </x:c>
      <x:c r="E80" s="6" t="str">
        <x:v>冲压金属外壳</x:v>
      </x:c>
      <x:c r="F80" s="13" t="str">
        <x:v>新增</x:v>
      </x:c>
      <x:c r="G80" s="6" t="str">
        <x:v>钢材</x:v>
      </x:c>
      <x:c r="H80" s="6" t="str">
        <x:v>涂料</x:v>
      </x:c>
      <x:c r="I80" s="6"/>
      <x:c r="J80" s="21"/>
      <x:c r="K80" s="21"/>
      <x:c r="L80" s="21"/>
      <x:c r="M80" s="6" t="str">
        <x:v>金属外壳</x:v>
      </x:c>
      <x:c r="N80" s="21"/>
      <x:c r="O80" s="21"/>
      <x:c r="P80" s="13" t="str">
        <x:v>是</x:v>
      </x:c>
      <x:c r="Q80" s="21"/>
      <x:c r="R80" s="21" t="str">
        <x:v>汽车和家电共用同一种外壳，形成争夺产能。</x:v>
      </x:c>
      <x:c r="S80" s="10" t="str">
        <x:f aca="0">IF(M80="","",IFERROR(INDEX(物品!$D$4:$D$103,MATCH(M80,物品!$B$4:$B$103,0)),""))</x:f>
        <x:v>零部件</x:v>
      </x:c>
    </x:row>
    <x:row r="81" ht="15" hidden="0">
      <x:c r="A81" s="10" t="str">
        <x:v>P089</x:v>
      </x:c>
      <x:c r="B81" s="90" t="str">
        <x:v>现代</x:v>
      </x:c>
      <x:c r="C81" s="6" t="str">
        <x:v>内饰厂</x:v>
      </x:c>
      <x:c r="D81" s="13" t="str">
        <x:v>生产</x:v>
      </x:c>
      <x:c r="E81" s="6" t="str">
        <x:v>制内饰</x:v>
      </x:c>
      <x:c r="F81" s="13" t="str">
        <x:v>新增</x:v>
      </x:c>
      <x:c r="G81" s="6" t="str">
        <x:v>布</x:v>
      </x:c>
      <x:c r="H81" s="6" t="str">
        <x:v>塑料</x:v>
      </x:c>
      <x:c r="I81" s="6" t="str">
        <x:v>保温层</x:v>
      </x:c>
      <x:c r="J81" s="6"/>
      <x:c r="K81" s="6"/>
      <x:c r="L81" s="6"/>
      <x:c r="M81" s="6" t="str">
        <x:v>内饰</x:v>
      </x:c>
      <x:c r="N81" s="21"/>
      <x:c r="O81" s="21"/>
      <x:c r="P81" s="13" t="str">
        <x:v>是</x:v>
      </x:c>
      <x:c r="Q81" s="21"/>
      <x:c r="R81" s="6"/>
      <x:c r="S81" s="10" t="str">
        <x:f aca="0">IF(M81="","",IFERROR(INDEX(物品!$D$4:$D$103,MATCH(M81,物品!$B$4:$B$103,0)),""))</x:f>
        <x:v>零部件</x:v>
      </x:c>
    </x:row>
    <x:row r="82" ht="15" hidden="0">
      <x:c r="A82" s="10" t="str">
        <x:v>P090</x:v>
      </x:c>
      <x:c r="B82" s="90" t="str">
        <x:v>现代</x:v>
      </x:c>
      <x:c r="C82" s="6" t="str">
        <x:v>净化器厂</x:v>
      </x:c>
      <x:c r="D82" s="13" t="str">
        <x:v>生产</x:v>
      </x:c>
      <x:c r="E82" s="6" t="str">
        <x:v>制尾气净化器</x:v>
      </x:c>
      <x:c r="F82" s="13" t="str">
        <x:v>新增</x:v>
      </x:c>
      <x:c r="G82" s="6" t="str">
        <x:v>管材</x:v>
      </x:c>
      <x:c r="H82" s="6" t="str">
        <x:v>基础化学品</x:v>
      </x:c>
      <x:c r="I82" s="21" t="str">
        <x:v>铝材</x:v>
      </x:c>
      <x:c r="J82" s="21"/>
      <x:c r="K82" s="21"/>
      <x:c r="L82" s="21"/>
      <x:c r="M82" s="6" t="str">
        <x:v>尾气净化器</x:v>
      </x:c>
      <x:c r="N82" s="21"/>
      <x:c r="O82" s="21"/>
      <x:c r="P82" s="13" t="str">
        <x:v>是</x:v>
      </x:c>
      <x:c r="Q82" s="21"/>
      <x:c r="R82" s="6"/>
      <x:c r="S82" s="10" t="str">
        <x:f aca="0">IF(M82="","",IFERROR(INDEX(物品!$D$4:$D$103,MATCH(M82,物品!$B$4:$B$103,0)),""))</x:f>
        <x:v>零部件</x:v>
      </x:c>
    </x:row>
    <x:row r="83" ht="15" hidden="0">
      <x:c r="A83" s="10" t="str">
        <x:v>P091</x:v>
      </x:c>
      <x:c r="B83" s="90" t="str">
        <x:v>现代</x:v>
      </x:c>
      <x:c r="C83" s="6" t="str">
        <x:v>汽车厂</x:v>
      </x:c>
      <x:c r="D83" s="13" t="str">
        <x:v>生产</x:v>
      </x:c>
      <x:c r="E83" s="6" t="str">
        <x:v>总装汽车</x:v>
      </x:c>
      <x:c r="F83" s="13" t="str">
        <x:v>新增</x:v>
      </x:c>
      <x:c r="G83" s="6" t="str">
        <x:v>金属外壳</x:v>
      </x:c>
      <x:c r="H83" s="6" t="str">
        <x:v>底盘</x:v>
      </x:c>
      <x:c r="I83" s="21" t="str">
        <x:v>动力装置</x:v>
      </x:c>
      <x:c r="J83" s="21" t="str">
        <x:v>车载电气</x:v>
      </x:c>
      <x:c r="K83" s="21" t="str">
        <x:v>内饰</x:v>
      </x:c>
      <x:c r="L83" s="21" t="str">
        <x:v>尾气净化器</x:v>
      </x:c>
      <x:c r="M83" s="6" t="str">
        <x:v>汽车</x:v>
      </x:c>
      <x:c r="N83" s="21"/>
      <x:c r="O83" s="21"/>
      <x:c r="P83" s="13" t="str">
        <x:v>是</x:v>
      </x:c>
      <x:c r="Q83" s="21"/>
      <x:c r="R83" s="21" t="str">
        <x:v>汽车共用金属外壳，动力装置直接入总装；保留其他四大系统。</x:v>
      </x:c>
      <x:c r="S83" s="10" t="str">
        <x:f aca="0">IF(M83="","",IFERROR(INDEX(物品!$D$4:$D$103,MATCH(M83,物品!$B$4:$B$103,0)),""))</x:f>
        <x:v>大件</x:v>
      </x:c>
    </x:row>
    <x:row r="84" ht="15" hidden="0">
      <x:c r="A84" s="10" t="str">
        <x:v>P092</x:v>
      </x:c>
      <x:c r="B84" s="90" t="str">
        <x:v>现代</x:v>
      </x:c>
      <x:c r="C84" s="6" t="str">
        <x:v>电机厂</x:v>
      </x:c>
      <x:c r="D84" s="13" t="str">
        <x:v>生产</x:v>
      </x:c>
      <x:c r="E84" s="6" t="str">
        <x:v>装配压缩机</x:v>
      </x:c>
      <x:c r="F84" s="13" t="str">
        <x:v>新增</x:v>
      </x:c>
      <x:c r="G84" s="6" t="str">
        <x:v>电机</x:v>
      </x:c>
      <x:c r="H84" s="6" t="str">
        <x:v>管材</x:v>
      </x:c>
      <x:c r="I84" s="6" t="str">
        <x:v>润滑油</x:v>
      </x:c>
      <x:c r="J84" s="21"/>
      <x:c r="K84" s="21"/>
      <x:c r="L84" s="21"/>
      <x:c r="M84" s="6" t="str">
        <x:v>压缩机</x:v>
      </x:c>
      <x:c r="N84" s="21"/>
      <x:c r="O84" s="21"/>
      <x:c r="P84" s="13" t="str">
        <x:v>是</x:v>
      </x:c>
      <x:c r="Q84" s="21"/>
      <x:c r="R84" s="21"/>
      <x:c r="S84" s="10" t="str">
        <x:f aca="0">IF(M84="","",IFERROR(INDEX(物品!$D$4:$D$103,MATCH(M84,物品!$B$4:$B$103,0)),""))</x:f>
        <x:v>零部件</x:v>
      </x:c>
    </x:row>
    <x:row r="85" ht="15" hidden="0">
      <x:c r="A85" s="10" t="str">
        <x:v>P093</x:v>
      </x:c>
      <x:c r="B85" s="90" t="str">
        <x:v>现代</x:v>
      </x:c>
      <x:c r="C85" s="6" t="str">
        <x:v>电机厂</x:v>
      </x:c>
      <x:c r="D85" s="13" t="str">
        <x:v>生产</x:v>
      </x:c>
      <x:c r="E85" s="6" t="str">
        <x:v>装配水泵</x:v>
      </x:c>
      <x:c r="F85" s="13" t="str">
        <x:v>新增</x:v>
      </x:c>
      <x:c r="G85" s="6" t="str">
        <x:v>电机</x:v>
      </x:c>
      <x:c r="H85" s="6" t="str">
        <x:v>管材</x:v>
      </x:c>
      <x:c r="I85" s="6"/>
      <x:c r="J85" s="6"/>
      <x:c r="K85" s="21"/>
      <x:c r="L85" s="21"/>
      <x:c r="M85" s="6" t="str">
        <x:v>水泵</x:v>
      </x:c>
      <x:c r="N85" s="21"/>
      <x:c r="O85" s="21"/>
      <x:c r="P85" s="13" t="str">
        <x:v>是</x:v>
      </x:c>
      <x:c r="Q85" s="21"/>
      <x:c r="R85" s="21"/>
      <x:c r="S85" s="10" t="str">
        <x:f aca="0">IF(M85="","",IFERROR(INDEX(物品!$D$4:$D$103,MATCH(M85,物品!$B$4:$B$103,0)),""))</x:f>
        <x:v>零部件</x:v>
      </x:c>
    </x:row>
    <x:row r="86" ht="15" hidden="0">
      <x:c r="A86" s="10" t="str">
        <x:v>P094</x:v>
      </x:c>
      <x:c r="B86" s="90" t="str">
        <x:v>现代</x:v>
      </x:c>
      <x:c r="C86" s="6" t="str">
        <x:v>机械厂</x:v>
      </x:c>
      <x:c r="D86" s="13" t="str">
        <x:v>生产</x:v>
      </x:c>
      <x:c r="E86" s="6" t="str">
        <x:v>制滚筒</x:v>
      </x:c>
      <x:c r="F86" s="13" t="str">
        <x:v>新增</x:v>
      </x:c>
      <x:c r="G86" s="6" t="str">
        <x:v>钢材</x:v>
      </x:c>
      <x:c r="H86" s="6" t="str">
        <x:v>紧固件</x:v>
      </x:c>
      <x:c r="I86" s="6"/>
      <x:c r="J86" s="21"/>
      <x:c r="K86" s="21"/>
      <x:c r="L86" s="21"/>
      <x:c r="M86" s="6" t="str">
        <x:v>滚筒</x:v>
      </x:c>
      <x:c r="N86" s="21"/>
      <x:c r="O86" s="21"/>
      <x:c r="P86" s="13" t="str">
        <x:v>是</x:v>
      </x:c>
      <x:c r="Q86" s="21"/>
      <x:c r="R86" s="21"/>
      <x:c r="S86" s="10" t="str">
        <x:f aca="0">IF(M86="","",IFERROR(INDEX(物品!$D$4:$D$103,MATCH(M86,物品!$B$4:$B$103,0)),""))</x:f>
        <x:v>零部件</x:v>
      </x:c>
    </x:row>
    <x:row r="87" ht="15" hidden="0">
      <x:c r="A87" s="10" t="str">
        <x:v>P095</x:v>
      </x:c>
      <x:c r="B87" s="90" t="str">
        <x:v>现代</x:v>
      </x:c>
      <x:c r="C87" s="6" t="str">
        <x:v>家电厂</x:v>
      </x:c>
      <x:c r="D87" s="13" t="str">
        <x:v>生产</x:v>
      </x:c>
      <x:c r="E87" s="6" t="str">
        <x:v>装配冰箱</x:v>
      </x:c>
      <x:c r="F87" s="13" t="str">
        <x:v>新增</x:v>
      </x:c>
      <x:c r="G87" s="6" t="str">
        <x:v>金属外壳</x:v>
      </x:c>
      <x:c r="H87" s="6" t="str">
        <x:v>压缩机</x:v>
      </x:c>
      <x:c r="I87" s="21" t="str">
        <x:v>保温层</x:v>
      </x:c>
      <x:c r="J87" s="21" t="str">
        <x:v>制冷剂</x:v>
      </x:c>
      <x:c r="K87" s="21" t="str">
        <x:v>电气配件</x:v>
      </x:c>
      <x:c r="L87" s="21"/>
      <x:c r="M87" s="6" t="str">
        <x:v>冰箱</x:v>
      </x:c>
      <x:c r="N87" s="21"/>
      <x:c r="O87" s="21"/>
      <x:c r="P87" s="13" t="str">
        <x:v>是</x:v>
      </x:c>
      <x:c r="Q87" s="21"/>
      <x:c r="R87" s="21"/>
      <x:c r="S87" s="10" t="str">
        <x:f aca="0">IF(M87="","",IFERROR(INDEX(物品!$D$4:$D$103,MATCH(M87,物品!$B$4:$B$103,0)),""))</x:f>
        <x:v>大件</x:v>
      </x:c>
    </x:row>
    <x:row r="88" ht="15" hidden="0">
      <x:c r="A88" s="10" t="str">
        <x:v>P096</x:v>
      </x:c>
      <x:c r="B88" s="90" t="str">
        <x:v>现代</x:v>
      </x:c>
      <x:c r="C88" s="6" t="str">
        <x:v>家电厂</x:v>
      </x:c>
      <x:c r="D88" s="13" t="str">
        <x:v>生产</x:v>
      </x:c>
      <x:c r="E88" s="6" t="str">
        <x:v>装配洗衣机</x:v>
      </x:c>
      <x:c r="F88" s="13" t="str">
        <x:v>新增</x:v>
      </x:c>
      <x:c r="G88" s="6" t="str">
        <x:v>金属外壳</x:v>
      </x:c>
      <x:c r="H88" s="6" t="str">
        <x:v>滚筒</x:v>
      </x:c>
      <x:c r="I88" s="6" t="str">
        <x:v>电机</x:v>
      </x:c>
      <x:c r="J88" s="21" t="str">
        <x:v>水泵</x:v>
      </x:c>
      <x:c r="K88" s="21" t="str">
        <x:v>电路板</x:v>
      </x:c>
      <x:c r="L88" s="21"/>
      <x:c r="M88" s="6" t="str">
        <x:v>洗衣机</x:v>
      </x:c>
      <x:c r="N88" s="21"/>
      <x:c r="O88" s="21"/>
      <x:c r="P88" s="13" t="str">
        <x:v>是</x:v>
      </x:c>
      <x:c r="Q88" s="21"/>
      <x:c r="R88" s="21"/>
      <x:c r="S88" s="10" t="str">
        <x:f aca="0">IF(M88="","",IFERROR(INDEX(物品!$D$4:$D$103,MATCH(M88,物品!$B$4:$B$103,0)),""))</x:f>
        <x:v>大件</x:v>
      </x:c>
    </x:row>
    <x:row r="89" ht="15" hidden="0">
      <x:c r="A89" s="10" t="str">
        <x:v>P097</x:v>
      </x:c>
      <x:c r="B89" s="90" t="str">
        <x:v>现代</x:v>
      </x:c>
      <x:c r="C89" s="6" t="str">
        <x:v>家电厂</x:v>
      </x:c>
      <x:c r="D89" s="13" t="str">
        <x:v>生产</x:v>
      </x:c>
      <x:c r="E89" s="6" t="str">
        <x:v>装配电视机</x:v>
      </x:c>
      <x:c r="F89" s="13" t="str">
        <x:v>新增</x:v>
      </x:c>
      <x:c r="G89" s="6" t="str">
        <x:v>显示屏</x:v>
      </x:c>
      <x:c r="H89" s="6" t="str">
        <x:v>电路板</x:v>
      </x:c>
      <x:c r="I89" s="6" t="str">
        <x:v>塑料</x:v>
      </x:c>
      <x:c r="J89" s="21" t="str">
        <x:v>铜线</x:v>
      </x:c>
      <x:c r="K89" s="21"/>
      <x:c r="L89" s="21"/>
      <x:c r="M89" s="6" t="str">
        <x:v>电视机</x:v>
      </x:c>
      <x:c r="N89" s="21"/>
      <x:c r="O89" s="21"/>
      <x:c r="P89" s="13" t="str">
        <x:v>是</x:v>
      </x:c>
      <x:c r="Q89" s="21"/>
      <x:c r="R89" s="21"/>
      <x:c r="S89" s="10" t="str">
        <x:f aca="0">IF(M89="","",IFERROR(INDEX(物品!$D$4:$D$103,MATCH(M89,物品!$B$4:$B$103,0)),""))</x:f>
        <x:v>大件</x:v>
      </x:c>
    </x:row>
    <x:row r="90" ht="15" hidden="0">
      <x:c r="A90" s="10" t="str">
        <x:v>P098</x:v>
      </x:c>
      <x:c r="B90" s="90" t="str">
        <x:v>现代</x:v>
      </x:c>
      <x:c r="C90" s="6" t="str">
        <x:v>电动工具厂</x:v>
      </x:c>
      <x:c r="D90" s="13" t="str">
        <x:v>生产</x:v>
      </x:c>
      <x:c r="E90" s="6" t="str">
        <x:v>装配电动工具</x:v>
      </x:c>
      <x:c r="F90" s="13" t="str">
        <x:v>新增</x:v>
      </x:c>
      <x:c r="G90" s="6" t="str">
        <x:v>电机</x:v>
      </x:c>
      <x:c r="H90" s="6" t="str">
        <x:v>铜线</x:v>
      </x:c>
      <x:c r="I90" s="6" t="str">
        <x:v>塑料</x:v>
      </x:c>
      <x:c r="J90" s="21"/>
      <x:c r="K90" s="21"/>
      <x:c r="L90" s="21"/>
      <x:c r="M90" s="6" t="str">
        <x:v>电动工具</x:v>
      </x:c>
      <x:c r="N90" s="21"/>
      <x:c r="O90" s="21"/>
      <x:c r="P90" s="13" t="str">
        <x:v>是</x:v>
      </x:c>
      <x:c r="Q90" s="21"/>
      <x:c r="R90" s="21"/>
      <x:c r="S90" s="10" t="str">
        <x:f aca="0">IF(M90="","",IFERROR(INDEX(物品!$D$4:$D$103,MATCH(M90,物品!$B$4:$B$103,0)),""))</x:f>
        <x:v>日常用品</x:v>
      </x:c>
    </x:row>
    <x:row r="91" ht="15" hidden="0">
      <x:c r="A91" s="10" t="str">
        <x:v>P099</x:v>
      </x:c>
      <x:c r="B91" s="90" t="str">
        <x:v>现代</x:v>
      </x:c>
      <x:c r="C91" s="6" t="str">
        <x:v>速食工厂</x:v>
      </x:c>
      <x:c r="D91" s="13" t="str">
        <x:v>生产</x:v>
      </x:c>
      <x:c r="E91" s="6" t="str">
        <x:v>制速食</x:v>
      </x:c>
      <x:c r="F91" s="13" t="str">
        <x:v>新增</x:v>
      </x:c>
      <x:c r="G91" s="6" t="str">
        <x:v>面粉</x:v>
      </x:c>
      <x:c r="H91" s="6" t="str">
        <x:v>塑料</x:v>
      </x:c>
      <x:c r="I91" s="21"/>
      <x:c r="J91" s="21"/>
      <x:c r="K91" s="21"/>
      <x:c r="L91" s="21"/>
      <x:c r="M91" s="6" t="str">
        <x:v>速食</x:v>
      </x:c>
      <x:c r="N91" s="21"/>
      <x:c r="O91" s="21"/>
      <x:c r="P91" s="13" t="str">
        <x:v>是</x:v>
      </x:c>
      <x:c r="Q91" s="21"/>
      <x:c r="R91" s="21" t="str">
        <x:v>依赖面粉（拆分方案）。</x:v>
      </x:c>
      <x:c r="S91" s="10" t="str">
        <x:f aca="0">IF(M91="","",IFERROR(INDEX(物品!$D$4:$D$103,MATCH(M91,物品!$B$4:$B$103,0)),""))</x:f>
        <x:v>日常用品</x:v>
      </x:c>
    </x:row>
    <x:row r="92" ht="15" hidden="0">
      <x:c r="A92" s="10" t="str">
        <x:v>P101</x:v>
      </x:c>
      <x:c r="B92" s="90" t="str">
        <x:v>现代</x:v>
      </x:c>
      <x:c r="C92" s="6" t="str">
        <x:v>劳保厂</x:v>
      </x:c>
      <x:c r="D92" s="13" t="str">
        <x:v>生产</x:v>
      </x:c>
      <x:c r="E92" s="6" t="str">
        <x:v>制劳保用品</x:v>
      </x:c>
      <x:c r="F92" s="13" t="str">
        <x:v>新增</x:v>
      </x:c>
      <x:c r="G92" s="6" t="str">
        <x:v>布</x:v>
      </x:c>
      <x:c r="H92" s="6" t="str">
        <x:v>塑料</x:v>
      </x:c>
      <x:c r="I92" s="6" t="str">
        <x:v>合成橡胶</x:v>
      </x:c>
      <x:c r="J92" s="21"/>
      <x:c r="K92" s="21"/>
      <x:c r="L92" s="21"/>
      <x:c r="M92" s="6" t="str">
        <x:v>劳保用品</x:v>
      </x:c>
      <x:c r="N92" s="21"/>
      <x:c r="O92" s="21"/>
      <x:c r="P92" s="13" t="str">
        <x:v>是</x:v>
      </x:c>
      <x:c r="Q92" s="21"/>
      <x:c r="R92" s="21" t="str">
        <x:v>合并口罩和手套。</x:v>
      </x:c>
      <x:c r="S92" s="10" t="str">
        <x:f aca="0">IF(M92="","",IFERROR(INDEX(物品!$D$4:$D$103,MATCH(M92,物品!$B$4:$B$103,0)),""))</x:f>
        <x:v>日常用品</x:v>
      </x:c>
    </x:row>
    <x:row r="93" ht="15" hidden="0">
      <x:c r="A93" s="10" t="str">
        <x:v>P103</x:v>
      </x:c>
      <x:c r="B93" s="90" t="str">
        <x:v>现代</x:v>
      </x:c>
      <x:c r="C93" s="6" t="str">
        <x:v>劳保厂</x:v>
      </x:c>
      <x:c r="D93" s="13" t="str">
        <x:v>生产</x:v>
      </x:c>
      <x:c r="E93" s="6" t="str">
        <x:v>制安全装备</x:v>
      </x:c>
      <x:c r="F93" s="13" t="str">
        <x:v>新增</x:v>
      </x:c>
      <x:c r="G93" s="6" t="str">
        <x:v>塑料</x:v>
      </x:c>
      <x:c r="H93" s="6" t="str">
        <x:v>合成橡胶</x:v>
      </x:c>
      <x:c r="I93" s="6" t="str">
        <x:v>布</x:v>
      </x:c>
      <x:c r="J93" s="21"/>
      <x:c r="K93" s="21"/>
      <x:c r="L93" s="21"/>
      <x:c r="M93" s="6" t="str">
        <x:v>安全装备</x:v>
      </x:c>
      <x:c r="N93" s="21"/>
      <x:c r="O93" s="21"/>
      <x:c r="P93" s="13" t="str">
        <x:v>是</x:v>
      </x:c>
      <x:c r="Q93" s="21"/>
      <x:c r="R93" s="21" t="str">
        <x:v>合并安全帽和劳保鞋。</x:v>
      </x:c>
      <x:c r="S93" s="10" t="str">
        <x:f aca="0">IF(M93="","",IFERROR(INDEX(物品!$D$4:$D$103,MATCH(M93,物品!$B$4:$B$103,0)),""))</x:f>
        <x:v>日常用品</x:v>
      </x:c>
    </x:row>
    <x:row r="94" ht="15" hidden="0">
      <x:c r="A94" s="10" t="str">
        <x:v>P105</x:v>
      </x:c>
      <x:c r="B94" s="86" t="str">
        <x:v>中世纪</x:v>
      </x:c>
      <x:c r="C94" s="6" t="str">
        <x:v>砂岩屋</x:v>
      </x:c>
      <x:c r="D94" s="13" t="str">
        <x:v>使用</x:v>
      </x:c>
      <x:c r="E94" s="6" t="str">
        <x:v>居住</x:v>
      </x:c>
      <x:c r="F94" s="13" t="str">
        <x:v>新增</x:v>
      </x:c>
      <x:c r="G94" s="6"/>
      <x:c r="H94" s="6"/>
      <x:c r="I94" s="6"/>
      <x:c r="J94" s="6"/>
      <x:c r="K94" s="6"/>
      <x:c r="L94" s="6"/>
      <x:c r="M94" s="6"/>
      <x:c r="N94" s="21"/>
      <x:c r="O94" s="21" t="str">
        <x:v>疲劳（睡眠）</x:v>
      </x:c>
      <x:c r="P94" s="13" t="str">
        <x:v>否</x:v>
      </x:c>
      <x:c r="Q94" s="21" t="str">
        <x:v>砂岩屋</x:v>
      </x:c>
      <x:c r="R94" s="6" t="str">
        <x:v>没有水电：洗浴要去澡堂，灯光靠公共设施。</x:v>
      </x:c>
      <x:c r="S94" s="10" t="str">
        <x:f aca="0">IF(M94="","",IFERROR(INDEX(物品!$D$4:$D$103,MATCH(M94,物品!$B$4:$B$103,0)),""))</x:f>
      </x:c>
    </x:row>
    <x:row r="95" ht="15" hidden="0">
      <x:c r="A95" s="10" t="str">
        <x:v>P106</x:v>
      </x:c>
      <x:c r="B95" s="88" t="str">
        <x:v>工业化</x:v>
      </x:c>
      <x:c r="C95" s="6" t="str">
        <x:v>砖房</x:v>
      </x:c>
      <x:c r="D95" s="13" t="str">
        <x:v>使用</x:v>
      </x:c>
      <x:c r="E95" s="6" t="str">
        <x:v>居住与洗浴</x:v>
      </x:c>
      <x:c r="F95" s="13" t="str">
        <x:v>新增</x:v>
      </x:c>
      <x:c r="G95" s="6" t="str">
        <x:v>灯泡</x:v>
      </x:c>
      <x:c r="H95" s="6" t="str">
        <x:v>清水</x:v>
      </x:c>
      <x:c r="I95" s="6" t="str">
        <x:v>清洁用品</x:v>
      </x:c>
      <x:c r="J95" s="21"/>
      <x:c r="K95" s="21"/>
      <x:c r="L95" s="21"/>
      <x:c r="M95" s="6"/>
      <x:c r="N95" s="21" t="str">
        <x:v>废水</x:v>
      </x:c>
      <x:c r="O95" s="21" t="str">
        <x:v>疲劳（睡眠）、整洁</x:v>
      </x:c>
      <x:c r="P95" s="13" t="str">
        <x:v>是</x:v>
      </x:c>
      <x:c r="Q95" s="21" t="str">
        <x:v>砖房</x:v>
      </x:c>
      <x:c r="R95" s="21" t="str">
        <x:v>依赖管网与电网。耗材 = 灯泡、清水、清洁用品；副作用 = 废水。</x:v>
      </x:c>
      <x:c r="S95" s="10" t="str">
        <x:f aca="0">IF(M95="","",IFERROR(INDEX(物品!$D$4:$D$103,MATCH(M95,物品!$B$4:$B$103,0)),""))</x:f>
      </x:c>
    </x:row>
    <x:row r="96" ht="15" hidden="0">
      <x:c r="A96" s="10" t="str">
        <x:v>P107</x:v>
      </x:c>
      <x:c r="B96" s="90" t="str">
        <x:v>现代</x:v>
      </x:c>
      <x:c r="C96" s="6" t="str">
        <x:v>混凝土公寓</x:v>
      </x:c>
      <x:c r="D96" s="13" t="str">
        <x:v>使用</x:v>
      </x:c>
      <x:c r="E96" s="6" t="str">
        <x:v>居住与洗浴</x:v>
      </x:c>
      <x:c r="F96" s="13" t="str">
        <x:v>新增</x:v>
      </x:c>
      <x:c r="G96" s="6" t="str">
        <x:v>灯泡</x:v>
      </x:c>
      <x:c r="H96" s="6" t="str">
        <x:v>清水</x:v>
      </x:c>
      <x:c r="I96" s="21" t="str">
        <x:v>清洁用品</x:v>
      </x:c>
      <x:c r="J96" s="21"/>
      <x:c r="K96" s="21"/>
      <x:c r="L96" s="21"/>
      <x:c r="M96" s="6"/>
      <x:c r="N96" s="21" t="str">
        <x:v>废水</x:v>
      </x:c>
      <x:c r="O96" s="21" t="str">
        <x:v>疲劳（睡眠）、整洁</x:v>
      </x:c>
      <x:c r="P96" s="13" t="str">
        <x:v>是</x:v>
      </x:c>
      <x:c r="Q96" s="21" t="str">
        <x:v>混凝土公寓</x:v>
      </x:c>
      <x:c r="R96" s="21" t="str">
        <x:v>同砖房。</x:v>
      </x:c>
      <x:c r="S96" s="10" t="str">
        <x:f aca="0">IF(M96="","",IFERROR(INDEX(物品!$D$4:$D$103,MATCH(M96,物品!$B$4:$B$103,0)),""))</x:f>
      </x:c>
    </x:row>
    <x:row r="97" ht="15" hidden="0">
      <x:c r="A97" s="10" t="str">
        <x:v>P108</x:v>
      </x:c>
      <x:c r="B97" s="90" t="str">
        <x:v>现代</x:v>
      </x:c>
      <x:c r="C97" s="6" t="str">
        <x:v>汽车</x:v>
      </x:c>
      <x:c r="D97" s="13" t="str">
        <x:v>使用</x:v>
      </x:c>
      <x:c r="E97" s="6" t="str">
        <x:v>行驶</x:v>
      </x:c>
      <x:c r="F97" s="13" t="str">
        <x:v>新增</x:v>
      </x:c>
      <x:c r="G97" s="6" t="str">
        <x:v>燃油</x:v>
      </x:c>
      <x:c r="H97" s="6" t="str">
        <x:v>润滑油</x:v>
      </x:c>
      <x:c r="I97" s="21"/>
      <x:c r="J97" s="21"/>
      <x:c r="K97" s="21"/>
      <x:c r="L97" s="21"/>
      <x:c r="M97" s="6"/>
      <x:c r="N97" s="21" t="str">
        <x:v>废气</x:v>
      </x:c>
      <x:c r="O97" s="21" t="str">
        <x:v>时间（移动速度↑）</x:v>
      </x:c>
      <x:c r="P97" s="13" t="str">
        <x:v>否</x:v>
      </x:c>
      <x:c r="Q97" s="21" t="str">
        <x:v>汽车</x:v>
      </x:c>
      <x:c r="R97" s="21" t="str">
        <x:v>依赖公路。耗材 = 燃油、润滑油；副作用 = 废气 → 健康。</x:v>
      </x:c>
      <x:c r="S97" s="10" t="str">
        <x:f aca="0">IF(M97="","",IFERROR(INDEX(物品!$D$4:$D$103,MATCH(M97,物品!$B$4:$B$103,0)),""))</x:f>
      </x:c>
    </x:row>
    <x:row r="98" ht="15" hidden="0">
      <x:c r="A98" s="10" t="str">
        <x:v>P109</x:v>
      </x:c>
      <x:c r="B98" s="90" t="str">
        <x:v>现代</x:v>
      </x:c>
      <x:c r="C98" s="6" t="str">
        <x:v>冰箱</x:v>
      </x:c>
      <x:c r="D98" s="13" t="str">
        <x:v>使用</x:v>
      </x:c>
      <x:c r="E98" s="6" t="str">
        <x:v>制冷</x:v>
      </x:c>
      <x:c r="F98" s="13" t="str">
        <x:v>新增</x:v>
      </x:c>
      <x:c r="G98" s="6" t="str">
        <x:v>电</x:v>
      </x:c>
      <x:c r="H98" s="6"/>
      <x:c r="I98" s="6"/>
      <x:c r="J98" s="6"/>
      <x:c r="K98" s="6"/>
      <x:c r="L98" s="21"/>
      <x:c r="M98" s="6"/>
      <x:c r="N98" s="21"/>
      <x:c r="O98" s="21" t="str">
        <x:v>保鲜（食物保质期↑）</x:v>
      </x:c>
      <x:c r="P98" s="13" t="str">
        <x:v>是</x:v>
      </x:c>
      <x:c r="Q98" s="21" t="str">
        <x:v>冰箱</x:v>
      </x:c>
      <x:c r="R98" s="21" t="str">
        <x:v>依赖电网。</x:v>
      </x:c>
      <x:c r="S98" s="10" t="str">
        <x:f aca="0">IF(M98="","",IFERROR(INDEX(物品!$D$4:$D$103,MATCH(M98,物品!$B$4:$B$103,0)),""))</x:f>
      </x:c>
    </x:row>
    <x:row r="99" ht="15" hidden="0">
      <x:c r="A99" s="10" t="str">
        <x:v>P110</x:v>
      </x:c>
      <x:c r="B99" s="90" t="str">
        <x:v>现代</x:v>
      </x:c>
      <x:c r="C99" s="6" t="str">
        <x:v>洗衣机</x:v>
      </x:c>
      <x:c r="D99" s="13" t="str">
        <x:v>使用</x:v>
      </x:c>
      <x:c r="E99" s="6" t="str">
        <x:v>洗衣</x:v>
      </x:c>
      <x:c r="F99" s="13" t="str">
        <x:v>新增</x:v>
      </x:c>
      <x:c r="G99" s="6" t="str">
        <x:v>电</x:v>
      </x:c>
      <x:c r="H99" s="6" t="str">
        <x:v>清水</x:v>
      </x:c>
      <x:c r="I99" s="6" t="str">
        <x:v>清洁用品</x:v>
      </x:c>
      <x:c r="J99" s="6"/>
      <x:c r="K99" s="6"/>
      <x:c r="L99" s="21"/>
      <x:c r="M99" s="6"/>
      <x:c r="N99" s="21" t="str">
        <x:v>废水</x:v>
      </x:c>
      <x:c r="O99" s="21" t="str">
        <x:v>整洁（衣物）、时间</x:v>
      </x:c>
      <x:c r="P99" s="13" t="str">
        <x:v>是</x:v>
      </x:c>
      <x:c r="Q99" s="21" t="str">
        <x:v>洗衣机</x:v>
      </x:c>
      <x:c r="R99" s="21" t="str">
        <x:v>依赖管网与电网。</x:v>
      </x:c>
      <x:c r="S99" s="10" t="str">
        <x:f aca="0">IF(M99="","",IFERROR(INDEX(物品!$D$4:$D$103,MATCH(M99,物品!$B$4:$B$103,0)),""))</x:f>
      </x:c>
    </x:row>
    <x:row r="100" ht="15" hidden="0">
      <x:c r="A100" s="10" t="str">
        <x:v>P111</x:v>
      </x:c>
      <x:c r="B100" s="90" t="str">
        <x:v>现代</x:v>
      </x:c>
      <x:c r="C100" s="6" t="str">
        <x:v>电视机</x:v>
      </x:c>
      <x:c r="D100" s="13" t="str">
        <x:v>使用</x:v>
      </x:c>
      <x:c r="E100" s="6" t="str">
        <x:v>收看</x:v>
      </x:c>
      <x:c r="F100" s="13" t="str">
        <x:v>新增</x:v>
      </x:c>
      <x:c r="G100" s="6" t="str">
        <x:v>电</x:v>
      </x:c>
      <x:c r="H100" s="6" t="str">
        <x:v>节目</x:v>
      </x:c>
      <x:c r="I100" s="6"/>
      <x:c r="J100" s="6"/>
      <x:c r="K100" s="21"/>
      <x:c r="L100" s="21"/>
      <x:c r="M100" s="6"/>
      <x:c r="N100" s="21"/>
      <x:c r="O100" s="21" t="str">
        <x:v>心情↑、疲劳↑（占用睡前时间）</x:v>
      </x:c>
      <x:c r="P100" s="13" t="str">
        <x:v>是</x:v>
      </x:c>
      <x:c r="Q100" s="21" t="str">
        <x:v>电视机</x:v>
      </x:c>
      <x:c r="R100" s="21" t="str">
        <x:v>内容要靠广播站持续供给。</x:v>
      </x:c>
      <x:c r="S100" s="10" t="str">
        <x:f aca="0">IF(M100="","",IFERROR(INDEX(物品!$D$4:$D$103,MATCH(M100,物品!$B$4:$B$103,0)),""))</x:f>
      </x:c>
    </x:row>
    <x:row r="101" ht="15" hidden="0">
      <x:c r="A101" s="10" t="str">
        <x:v>P112</x:v>
      </x:c>
      <x:c r="B101" s="86" t="str">
        <x:v>中世纪</x:v>
      </x:c>
      <x:c r="C101" s="6" t="str">
        <x:v>修缮队</x:v>
      </x:c>
      <x:c r="D101" s="13" t="str">
        <x:v>维护</x:v>
      </x:c>
      <x:c r="E101" s="6" t="str">
        <x:v>修缮住宅（简易）</x:v>
      </x:c>
      <x:c r="F101" s="13" t="str">
        <x:v>新增</x:v>
      </x:c>
      <x:c r="G101" s="6" t="str">
        <x:v>砂岩</x:v>
      </x:c>
      <x:c r="H101" s="6" t="str">
        <x:v>木板</x:v>
      </x:c>
      <x:c r="I101" s="6"/>
      <x:c r="J101" s="21"/>
      <x:c r="K101" s="21"/>
      <x:c r="L101" s="21"/>
      <x:c r="M101" s="6" t="str">
        <x:v>住所修缮</x:v>
      </x:c>
      <x:c r="N101" s="21"/>
      <x:c r="O101" s="21" t="str">
        <x:v>状况↑</x:v>
      </x:c>
      <x:c r="P101" s="13" t="str">
        <x:v>否</x:v>
      </x:c>
      <x:c r="Q101" s="21" t="str">
        <x:v>砂岩屋</x:v>
      </x:c>
      <x:c r="R101" s="21" t="str">
        <x:v>砂岩屋老化后补墙补顶；没有涂料，只能用原料硬补。</x:v>
      </x:c>
      <x:c r="S101" s="10" t="str">
        <x:f aca="0">IF(M101="","",IFERROR(INDEX(物品!$D$4:$D$103,MATCH(M101,物品!$B$4:$B$103,0)),""))</x:f>
        <x:v>服务品</x:v>
      </x:c>
    </x:row>
    <x:row r="102" ht="15" hidden="0">
      <x:c r="A102" s="10" t="str">
        <x:v>P113</x:v>
      </x:c>
      <x:c r="B102" s="88" t="str">
        <x:v>工业化</x:v>
      </x:c>
      <x:c r="C102" s="6" t="str">
        <x:v>修缮队</x:v>
      </x:c>
      <x:c r="D102" s="13" t="str">
        <x:v>维护</x:v>
      </x:c>
      <x:c r="E102" s="6" t="str">
        <x:v>修缮住宅</x:v>
      </x:c>
      <x:c r="F102" s="13" t="str">
        <x:v>新增</x:v>
      </x:c>
      <x:c r="G102" s="6" t="str">
        <x:v>屋瓦</x:v>
      </x:c>
      <x:c r="H102" s="6" t="str">
        <x:v>木板</x:v>
      </x:c>
      <x:c r="I102" s="21" t="str">
        <x:v>涂料</x:v>
      </x:c>
      <x:c r="J102" s="21"/>
      <x:c r="K102" s="21"/>
      <x:c r="L102" s="21"/>
      <x:c r="M102" s="6" t="str">
        <x:v>住所修缮</x:v>
      </x:c>
      <x:c r="N102" s="21"/>
      <x:c r="O102" s="21" t="str">
        <x:v>状况↑</x:v>
      </x:c>
      <x:c r="P102" s="13" t="str">
        <x:v>否</x:v>
      </x:c>
      <x:c r="Q102" s="21" t="str">
        <x:v>砖房、混凝土公寓</x:v>
      </x:c>
      <x:c r="R102" s="6" t="str">
        <x:v>屋顶、墙面会老化；不修就漏雨 → 睡眠与健康下降。</x:v>
      </x:c>
      <x:c r="S102" s="10" t="str">
        <x:f aca="0">IF(M102="","",IFERROR(INDEX(物品!$D$4:$D$103,MATCH(M102,物品!$B$4:$B$103,0)),""))</x:f>
        <x:v>服务品</x:v>
      </x:c>
    </x:row>
    <x:row r="103" ht="15" hidden="0">
      <x:c r="A103" s="10" t="str">
        <x:v>P114</x:v>
      </x:c>
      <x:c r="B103" s="90" t="str">
        <x:v>现代</x:v>
      </x:c>
      <x:c r="C103" s="6" t="str">
        <x:v>汽修厂</x:v>
      </x:c>
      <x:c r="D103" s="13" t="str">
        <x:v>维护</x:v>
      </x:c>
      <x:c r="E103" s="6" t="str">
        <x:v>维修汽车</x:v>
      </x:c>
      <x:c r="F103" s="13" t="str">
        <x:v>新增</x:v>
      </x:c>
      <x:c r="G103" s="6" t="str">
        <x:v>轮胎</x:v>
      </x:c>
      <x:c r="H103" s="6" t="str">
        <x:v>蓄电池</x:v>
      </x:c>
      <x:c r="I103" s="6" t="str">
        <x:v>润滑油</x:v>
      </x:c>
      <x:c r="J103" s="21"/>
      <x:c r="K103" s="21"/>
      <x:c r="L103" s="21"/>
      <x:c r="M103" s="6" t="str">
        <x:v>汽车修理</x:v>
      </x:c>
      <x:c r="N103" s="21"/>
      <x:c r="O103" s="21" t="str">
        <x:v>耐久↑</x:v>
      </x:c>
      <x:c r="P103" s="13" t="str">
        <x:v>否</x:v>
      </x:c>
      <x:c r="Q103" s="21" t="str">
        <x:v>汽车</x:v>
      </x:c>
      <x:c r="R103" s="21" t="str">
        <x:v>持续的备件需求，是汽车产业的“后市场”。</x:v>
      </x:c>
      <x:c r="S103" s="10" t="str">
        <x:f aca="0">IF(M103="","",IFERROR(INDEX(物品!$D$4:$D$103,MATCH(M103,物品!$B$4:$B$103,0)),""))</x:f>
        <x:v>服务品</x:v>
      </x:c>
    </x:row>
    <x:row r="104" ht="15" hidden="0">
      <x:c r="A104" s="10" t="str">
        <x:v>P115</x:v>
      </x:c>
      <x:c r="B104" s="90" t="str">
        <x:v>现代</x:v>
      </x:c>
      <x:c r="C104" s="6" t="str">
        <x:v>家电维修铺</x:v>
      </x:c>
      <x:c r="D104" s="13" t="str">
        <x:v>维护</x:v>
      </x:c>
      <x:c r="E104" s="6" t="str">
        <x:v>维修冰箱</x:v>
      </x:c>
      <x:c r="F104" s="13" t="str">
        <x:v>新增</x:v>
      </x:c>
      <x:c r="G104" s="6" t="str">
        <x:v>压缩机</x:v>
      </x:c>
      <x:c r="H104" s="6" t="str">
        <x:v>制冷剂</x:v>
      </x:c>
      <x:c r="I104" s="21" t="str">
        <x:v>电气配件</x:v>
      </x:c>
      <x:c r="J104" s="21"/>
      <x:c r="K104" s="21"/>
      <x:c r="L104" s="21"/>
      <x:c r="M104" s="6" t="str">
        <x:v>家电维修</x:v>
      </x:c>
      <x:c r="N104" s="21"/>
      <x:c r="O104" s="21" t="str">
        <x:v>耐久↑</x:v>
      </x:c>
      <x:c r="P104" s="13" t="str">
        <x:v>是</x:v>
      </x:c>
      <x:c r="Q104" s="21" t="str">
        <x:v>冰箱</x:v>
      </x:c>
      <x:c r="R104" s="21" t="str">
        <x:v>维修冰箱，消耗压缩机、制冷剂与电气配件，产出统一的家电维修服务。</x:v>
      </x:c>
      <x:c r="S104" s="10" t="str">
        <x:f aca="0">IF(M104="","",IFERROR(INDEX(物品!$D$4:$D$103,MATCH(M104,物品!$B$4:$B$103,0)),""))</x:f>
        <x:v>服务品</x:v>
      </x:c>
    </x:row>
    <x:row r="105" ht="15" hidden="0">
      <x:c r="A105" s="10" t="str">
        <x:v>P116</x:v>
      </x:c>
      <x:c r="B105" s="90" t="str">
        <x:v>现代</x:v>
      </x:c>
      <x:c r="C105" s="6" t="str">
        <x:v>家电维修铺</x:v>
      </x:c>
      <x:c r="D105" s="13" t="str">
        <x:v>维护</x:v>
      </x:c>
      <x:c r="E105" s="6" t="str">
        <x:v>维修洗衣机</x:v>
      </x:c>
      <x:c r="F105" s="13" t="str">
        <x:v>新增</x:v>
      </x:c>
      <x:c r="G105" s="6" t="str">
        <x:v>电机</x:v>
      </x:c>
      <x:c r="H105" s="6" t="str">
        <x:v>水泵</x:v>
      </x:c>
      <x:c r="I105" s="21" t="str">
        <x:v>电路板</x:v>
      </x:c>
      <x:c r="J105" s="21"/>
      <x:c r="K105" s="21"/>
      <x:c r="L105" s="21"/>
      <x:c r="M105" s="6" t="str">
        <x:v>家电维修</x:v>
      </x:c>
      <x:c r="N105" s="21"/>
      <x:c r="O105" s="21" t="str">
        <x:v>耐久↑</x:v>
      </x:c>
      <x:c r="P105" s="13" t="str">
        <x:v>是</x:v>
      </x:c>
      <x:c r="Q105" s="21" t="str">
        <x:v>洗衣机</x:v>
      </x:c>
      <x:c r="R105" s="21" t="str">
        <x:v>维修洗衣机，消耗电机、水泵和电路板，产出统一的家电维修服务。</x:v>
      </x:c>
      <x:c r="S105" s="10" t="str">
        <x:f aca="0">IF(M105="","",IFERROR(INDEX(物品!$D$4:$D$103,MATCH(M105,物品!$B$4:$B$103,0)),""))</x:f>
        <x:v>服务品</x:v>
      </x:c>
    </x:row>
    <x:row r="106" ht="15" hidden="0">
      <x:c r="A106" s="10" t="str">
        <x:v>P117</x:v>
      </x:c>
      <x:c r="B106" s="90" t="str">
        <x:v>现代</x:v>
      </x:c>
      <x:c r="C106" s="6" t="str">
        <x:v>家电维修铺</x:v>
      </x:c>
      <x:c r="D106" s="13" t="str">
        <x:v>维护</x:v>
      </x:c>
      <x:c r="E106" s="6" t="str">
        <x:v>维修电视机</x:v>
      </x:c>
      <x:c r="F106" s="13" t="str">
        <x:v>新增</x:v>
      </x:c>
      <x:c r="G106" s="6" t="str">
        <x:v>显示屏</x:v>
      </x:c>
      <x:c r="H106" s="6" t="str">
        <x:v>电路板</x:v>
      </x:c>
      <x:c r="I106" s="21"/>
      <x:c r="J106" s="21"/>
      <x:c r="K106" s="21"/>
      <x:c r="L106" s="21"/>
      <x:c r="M106" s="6" t="str">
        <x:v>家电维修</x:v>
      </x:c>
      <x:c r="N106" s="21"/>
      <x:c r="O106" s="21" t="str">
        <x:v>耐久↑</x:v>
      </x:c>
      <x:c r="P106" s="13" t="str">
        <x:v>是</x:v>
      </x:c>
      <x:c r="Q106" s="21" t="str">
        <x:v>电视机</x:v>
      </x:c>
      <x:c r="R106" s="21" t="str">
        <x:v>维修电视机，消耗显示屏和电路板，产出统一的家电维修服务。</x:v>
      </x:c>
      <x:c r="S106" s="10" t="str">
        <x:f aca="0">IF(M106="","",IFERROR(INDEX(物品!$D$4:$D$103,MATCH(M106,物品!$B$4:$B$103,0)),""))</x:f>
        <x:v>服务品</x:v>
      </x:c>
    </x:row>
    <x:row r="107" ht="15" hidden="0">
      <x:c r="A107" s="10" t="str">
        <x:v>P118</x:v>
      </x:c>
      <x:c r="B107" s="88" t="str">
        <x:v>工业化</x:v>
      </x:c>
      <x:c r="C107" s="6" t="str">
        <x:v>澡堂</x:v>
      </x:c>
      <x:c r="D107" s="13" t="str">
        <x:v>服务</x:v>
      </x:c>
      <x:c r="E107" s="6" t="str">
        <x:v>营业</x:v>
      </x:c>
      <x:c r="F107" s="13" t="str">
        <x:v>新增</x:v>
      </x:c>
      <x:c r="G107" s="6" t="str">
        <x:v>清水</x:v>
      </x:c>
      <x:c r="H107" s="6" t="str">
        <x:v>清洁用品</x:v>
      </x:c>
      <x:c r="I107" s="6" t="str">
        <x:v>燃料</x:v>
      </x:c>
      <x:c r="J107" s="21"/>
      <x:c r="K107" s="21"/>
      <x:c r="L107" s="21"/>
      <x:c r="M107" s="6" t="str">
        <x:v>沐浴</x:v>
      </x:c>
      <x:c r="N107" s="21" t="str">
        <x:v>废水</x:v>
      </x:c>
      <x:c r="O107" s="21" t="str">
        <x:v>整洁↑、疲劳↓</x:v>
      </x:c>
      <x:c r="P107" s="13" t="str">
        <x:v>否</x:v>
      </x:c>
      <x:c r="Q107" s="21" t="str">
        <x:v>砂岩屋</x:v>
      </x:c>
      <x:c r="R107" s="21" t="str">
        <x:v>没有家庭洗浴设施的居民去这里。</x:v>
      </x:c>
      <x:c r="S107" s="10" t="str">
        <x:f aca="0">IF(M107="","",IFERROR(INDEX(物品!$D$4:$D$103,MATCH(M107,物品!$B$4:$B$103,0)),""))</x:f>
        <x:v>服务品</x:v>
      </x:c>
    </x:row>
    <x:row r="108" ht="15" hidden="0">
      <x:c r="A108" s="10" t="str">
        <x:v>P119</x:v>
      </x:c>
      <x:c r="B108" s="88" t="str">
        <x:v>工业化</x:v>
      </x:c>
      <x:c r="C108" s="6" t="str">
        <x:v>诊所</x:v>
      </x:c>
      <x:c r="D108" s="13" t="str">
        <x:v>服务</x:v>
      </x:c>
      <x:c r="E108" s="6" t="str">
        <x:v>诊疗</x:v>
      </x:c>
      <x:c r="F108" s="13" t="str">
        <x:v>新增</x:v>
      </x:c>
      <x:c r="G108" s="21" t="str">
        <x:v>医疗用品</x:v>
      </x:c>
      <x:c r="H108" s="21"/>
      <x:c r="I108" s="21"/>
      <x:c r="J108" s="21"/>
      <x:c r="K108" s="21"/>
      <x:c r="L108" s="21"/>
      <x:c r="M108" s="21" t="str">
        <x:v>诊疗</x:v>
      </x:c>
      <x:c r="N108" s="21"/>
      <x:c r="O108" s="6" t="str">
        <x:v>健康↑</x:v>
      </x:c>
      <x:c r="P108" s="13" t="str">
        <x:v>否</x:v>
      </x:c>
      <x:c r="Q108" s="6"/>
      <x:c r="R108" s="6" t="str">
        <x:v>统一消耗医疗用品，避免重复投入相同名称。</x:v>
      </x:c>
      <x:c r="S108" s="10" t="str">
        <x:f aca="0">IF(M108="","",IFERROR(INDEX(物品!$D$4:$D$103,MATCH(M108,物品!$B$4:$B$103,0)),""))</x:f>
        <x:v>服务品</x:v>
      </x:c>
    </x:row>
    <x:row r="109" ht="29.850000381469727" hidden="0">
      <x:c r="A109" s="10" t="str">
        <x:v>P120</x:v>
      </x:c>
      <x:c r="B109" s="90" t="str">
        <x:v>现代</x:v>
      </x:c>
      <x:c r="C109" s="6" t="str">
        <x:v>污水处理厂</x:v>
      </x:c>
      <x:c r="D109" s="13" t="str">
        <x:v>服务</x:v>
      </x:c>
      <x:c r="E109" s="6" t="str">
        <x:v>处理</x:v>
      </x:c>
      <x:c r="F109" s="13" t="str">
        <x:v>新增</x:v>
      </x:c>
      <x:c r="G109" s="6" t="str">
        <x:v>废水</x:v>
      </x:c>
      <x:c r="H109" s="6" t="str">
        <x:v>基础化学品</x:v>
      </x:c>
      <x:c r="I109" s="6"/>
      <x:c r="J109" s="21"/>
      <x:c r="K109" s="21"/>
      <x:c r="L109" s="21"/>
      <x:c r="M109" s="21" t="str">
        <x:v>清水</x:v>
      </x:c>
      <x:c r="N109" s="6"/>
      <x:c r="O109" s="6" t="str">
        <x:v>污染↓</x:v>
      </x:c>
      <x:c r="P109" s="13" t="str">
        <x:v>是</x:v>
      </x:c>
      <x:c r="Q109" s="6" t="str">
        <x:v>洗衣机、砖房、混凝土公寓</x:v>
      </x:c>
      <x:c r="R109" s="6" t="str">
        <x:v>废水变回清水：闭合水循环，缓解水源稀缺。</x:v>
      </x:c>
      <x:c r="S109" s="10" t="str">
        <x:f aca="0">IF(M109="","",IFERROR(INDEX(物品!$D$4:$D$103,MATCH(M109,物品!$B$4:$B$103,0)),""))</x:f>
        <x:v>日常用品</x:v>
      </x:c>
    </x:row>
    <x:row r="110" ht="15" hidden="0">
      <x:c r="A110" s="10" t="str">
        <x:v>P121</x:v>
      </x:c>
      <x:c r="B110" s="90" t="str">
        <x:v>现代</x:v>
      </x:c>
      <x:c r="C110" s="6" t="str">
        <x:v>广播站</x:v>
      </x:c>
      <x:c r="D110" s="13" t="str">
        <x:v>服务</x:v>
      </x:c>
      <x:c r="E110" s="6" t="str">
        <x:v>播出</x:v>
      </x:c>
      <x:c r="F110" s="13" t="str">
        <x:v>新增</x:v>
      </x:c>
      <x:c r="G110" s="6"/>
      <x:c r="H110" s="6"/>
      <x:c r="I110" s="6"/>
      <x:c r="J110" s="21"/>
      <x:c r="K110" s="21"/>
      <x:c r="L110" s="21"/>
      <x:c r="M110" s="21" t="str">
        <x:v>节目</x:v>
      </x:c>
      <x:c r="N110" s="6"/>
      <x:c r="O110" s="6" t="str">
        <x:v>心情</x:v>
      </x:c>
      <x:c r="P110" s="13" t="str">
        <x:v>是</x:v>
      </x:c>
      <x:c r="Q110" s="6" t="str">
        <x:v>电视机</x:v>
      </x:c>
      <x:c r="R110" s="6" t="str">
        <x:v>内容供给。</x:v>
      </x:c>
      <x:c r="S110" s="10" t="str">
        <x:f aca="0">IF(M110="","",IFERROR(INDEX(物品!$D$4:$D$103,MATCH(M110,物品!$B$4:$B$103,0)),""))</x:f>
        <x:v>服务品</x:v>
      </x:c>
    </x:row>
    <x:row r="111" ht="15" hidden="0">
      <x:c r="A111" s="10" t="str">
        <x:v>P122</x:v>
      </x:c>
      <x:c r="B111" s="90" t="str">
        <x:v>现代</x:v>
      </x:c>
      <x:c r="C111" s="6" t="str">
        <x:v>银行</x:v>
      </x:c>
      <x:c r="D111" s="13" t="str">
        <x:v>服务</x:v>
      </x:c>
      <x:c r="E111" s="6" t="str">
        <x:v>放贷</x:v>
      </x:c>
      <x:c r="F111" s="13" t="str">
        <x:v>新增</x:v>
      </x:c>
      <x:c r="G111" s="6" t="str">
        <x:v>面包</x:v>
      </x:c>
      <x:c r="H111" s="6"/>
      <x:c r="I111" s="21"/>
      <x:c r="J111" s="21"/>
      <x:c r="K111" s="21"/>
      <x:c r="L111" s="21"/>
      <x:c r="M111" s="21" t="str">
        <x:v>信用额度</x:v>
      </x:c>
      <x:c r="N111" s="6"/>
      <x:c r="O111" s="6" t="str">
        <x:v>预支</x:v>
      </x:c>
      <x:c r="P111" s="13" t="str">
        <x:v>否</x:v>
      </x:c>
      <x:c r="Q111" s="6"/>
      <x:c r="R111" s="6" t="str">
        <x:v>储备面包变成可预支的额度。</x:v>
      </x:c>
      <x:c r="S111" s="10" t="str">
        <x:f aca="0">IF(M111="","",IFERROR(INDEX(物品!$D$4:$D$103,MATCH(M111,物品!$B$4:$B$103,0)),""))</x:f>
        <x:v>金融品</x:v>
      </x:c>
    </x:row>
    <x:row r="112" ht="29.850000381469727" hidden="0">
      <x:c r="A112" s="10" t="str">
        <x:v>P123</x:v>
      </x:c>
      <x:c r="B112" s="88" t="str">
        <x:v>工业化</x:v>
      </x:c>
      <x:c r="C112" s="6" t="str">
        <x:v>房产中介</x:v>
      </x:c>
      <x:c r="D112" s="13" t="str">
        <x:v>服务</x:v>
      </x:c>
      <x:c r="E112" s="6" t="str">
        <x:v>分期售房（砖房）</x:v>
      </x:c>
      <x:c r="F112" s="13" t="str">
        <x:v>新增</x:v>
      </x:c>
      <x:c r="G112" s="6" t="str">
        <x:v>砖房</x:v>
      </x:c>
      <x:c r="H112" s="21" t="str">
        <x:v>信用额度</x:v>
      </x:c>
      <x:c r="I112" s="21"/>
      <x:c r="J112" s="21"/>
      <x:c r="K112" s="21"/>
      <x:c r="L112" s="21"/>
      <x:c r="M112" s="21" t="str">
        <x:v>债务合同</x:v>
      </x:c>
      <x:c r="N112" s="21" t="str">
        <x:v>面包</x:v>
      </x:c>
      <x:c r="O112" s="6" t="str">
        <x:v>预支</x:v>
      </x:c>
      <x:c r="P112" s="13" t="str">
        <x:v>否</x:v>
      </x:c>
      <x:c r="Q112" s="6" t="str">
        <x:v>砖房</x:v>
      </x:c>
      <x:c r="R112" s="6" t="str">
        <x:v>大件交给小人；卖家拿到银行垫付的面包；小人背上债务合同。</x:v>
      </x:c>
      <x:c r="S112" s="10" t="str">
        <x:f aca="0">IF(M112="","",IFERROR(INDEX(物品!$D$4:$D$103,MATCH(M112,物品!$B$4:$B$103,0)),""))</x:f>
        <x:v>金融品</x:v>
      </x:c>
    </x:row>
    <x:row r="113" ht="15" hidden="0">
      <x:c r="A113" s="10" t="str">
        <x:v>P124</x:v>
      </x:c>
      <x:c r="B113" s="90" t="str">
        <x:v>现代</x:v>
      </x:c>
      <x:c r="C113" s="6" t="str">
        <x:v>房产中介</x:v>
      </x:c>
      <x:c r="D113" s="13" t="str">
        <x:v>服务</x:v>
      </x:c>
      <x:c r="E113" s="6" t="str">
        <x:v>分期售房（公寓）</x:v>
      </x:c>
      <x:c r="F113" s="13" t="str">
        <x:v>新增</x:v>
      </x:c>
      <x:c r="G113" s="6" t="str">
        <x:v>混凝土公寓</x:v>
      </x:c>
      <x:c r="H113" s="6" t="str">
        <x:v>信用额度</x:v>
      </x:c>
      <x:c r="I113" s="6"/>
      <x:c r="J113" s="21"/>
      <x:c r="K113" s="21"/>
      <x:c r="L113" s="21"/>
      <x:c r="M113" s="21" t="str">
        <x:v>债务合同</x:v>
      </x:c>
      <x:c r="N113" s="6" t="str">
        <x:v>面包</x:v>
      </x:c>
      <x:c r="O113" s="6" t="str">
        <x:v>预支</x:v>
      </x:c>
      <x:c r="P113" s="13" t="str">
        <x:v>否</x:v>
      </x:c>
      <x:c r="Q113" s="6" t="str">
        <x:v>混凝土公寓</x:v>
      </x:c>
      <x:c r="R113" s="6"/>
      <x:c r="S113" s="10" t="str">
        <x:f aca="0">IF(M113="","",IFERROR(INDEX(物品!$D$4:$D$103,MATCH(M113,物品!$B$4:$B$103,0)),""))</x:f>
        <x:v>金融品</x:v>
      </x:c>
    </x:row>
    <x:row r="114" ht="29.850000381469727" hidden="0">
      <x:c r="A114" s="10" t="str">
        <x:v>P125</x:v>
      </x:c>
      <x:c r="B114" s="90" t="str">
        <x:v>现代</x:v>
      </x:c>
      <x:c r="C114" s="6" t="str">
        <x:v>汽车行</x:v>
      </x:c>
      <x:c r="D114" s="13" t="str">
        <x:v>服务</x:v>
      </x:c>
      <x:c r="E114" s="6" t="str">
        <x:v>分期售车</x:v>
      </x:c>
      <x:c r="F114" s="13" t="str">
        <x:v>新增</x:v>
      </x:c>
      <x:c r="G114" s="6" t="str">
        <x:v>汽车</x:v>
      </x:c>
      <x:c r="H114" s="6" t="str">
        <x:v>信用额度</x:v>
      </x:c>
      <x:c r="I114" s="21"/>
      <x:c r="J114" s="21"/>
      <x:c r="K114" s="21"/>
      <x:c r="L114" s="21"/>
      <x:c r="M114" s="21" t="str">
        <x:v>债务合同</x:v>
      </x:c>
      <x:c r="N114" s="21" t="str">
        <x:v>面包</x:v>
      </x:c>
      <x:c r="O114" s="6" t="str">
        <x:v>预支</x:v>
      </x:c>
      <x:c r="P114" s="13" t="str">
        <x:v>否</x:v>
      </x:c>
      <x:c r="Q114" s="6" t="str">
        <x:v>汽车</x:v>
      </x:c>
      <x:c r="R114" s="6"/>
      <x:c r="S114" s="10" t="str">
        <x:f aca="0">IF(M114="","",IFERROR(INDEX(物品!$D$4:$D$103,MATCH(M114,物品!$B$4:$B$103,0)),""))</x:f>
        <x:v>金融品</x:v>
      </x:c>
    </x:row>
    <x:row r="115" ht="15" hidden="0">
      <x:c r="A115" s="10" t="str">
        <x:v>P126</x:v>
      </x:c>
      <x:c r="B115" s="90" t="str">
        <x:v>现代</x:v>
      </x:c>
      <x:c r="C115" s="6" t="str">
        <x:v>家电商场</x:v>
      </x:c>
      <x:c r="D115" s="13" t="str">
        <x:v>服务</x:v>
      </x:c>
      <x:c r="E115" s="6" t="str">
        <x:v>分期售冰箱</x:v>
      </x:c>
      <x:c r="F115" s="13" t="str">
        <x:v>新增</x:v>
      </x:c>
      <x:c r="G115" s="6" t="str">
        <x:v>冰箱</x:v>
      </x:c>
      <x:c r="H115" s="6" t="str">
        <x:v>信用额度</x:v>
      </x:c>
      <x:c r="I115" s="21"/>
      <x:c r="J115" s="21"/>
      <x:c r="K115" s="21"/>
      <x:c r="L115" s="21"/>
      <x:c r="M115" s="6" t="str">
        <x:v>债务合同</x:v>
      </x:c>
      <x:c r="N115" s="21" t="str">
        <x:v>面包</x:v>
      </x:c>
      <x:c r="O115" s="6" t="str">
        <x:v>预支</x:v>
      </x:c>
      <x:c r="P115" s="13" t="str">
        <x:v>否</x:v>
      </x:c>
      <x:c r="Q115" s="6" t="str">
        <x:v>冰箱</x:v>
      </x:c>
      <x:c r="R115" s="6"/>
      <x:c r="S115" s="10" t="str">
        <x:f aca="0">IF(M115="","",IFERROR(INDEX(物品!$D$4:$D$103,MATCH(M115,物品!$B$4:$B$103,0)),""))</x:f>
        <x:v>金融品</x:v>
      </x:c>
    </x:row>
    <x:row r="116" ht="15" hidden="0">
      <x:c r="A116" s="10" t="str">
        <x:v>P127</x:v>
      </x:c>
      <x:c r="B116" s="90" t="str">
        <x:v>现代</x:v>
      </x:c>
      <x:c r="C116" s="6" t="str">
        <x:v>家电商场</x:v>
      </x:c>
      <x:c r="D116" s="13" t="str">
        <x:v>服务</x:v>
      </x:c>
      <x:c r="E116" s="6" t="str">
        <x:v>分期售洗衣机</x:v>
      </x:c>
      <x:c r="F116" s="13" t="str">
        <x:v>新增</x:v>
      </x:c>
      <x:c r="G116" s="6" t="str">
        <x:v>洗衣机</x:v>
      </x:c>
      <x:c r="H116" s="6" t="str">
        <x:v>信用额度</x:v>
      </x:c>
      <x:c r="I116" s="6"/>
      <x:c r="J116" s="21"/>
      <x:c r="K116" s="21"/>
      <x:c r="L116" s="21"/>
      <x:c r="M116" s="6" t="str">
        <x:v>债务合同</x:v>
      </x:c>
      <x:c r="N116" s="21" t="str">
        <x:v>面包</x:v>
      </x:c>
      <x:c r="O116" s="6" t="str">
        <x:v>预支</x:v>
      </x:c>
      <x:c r="P116" s="13" t="str">
        <x:v>否</x:v>
      </x:c>
      <x:c r="Q116" s="6" t="str">
        <x:v>洗衣机</x:v>
      </x:c>
      <x:c r="R116" s="6"/>
      <x:c r="S116" s="10" t="str">
        <x:f aca="0">IF(M116="","",IFERROR(INDEX(物品!$D$4:$D$103,MATCH(M116,物品!$B$4:$B$103,0)),""))</x:f>
        <x:v>金融品</x:v>
      </x:c>
    </x:row>
    <x:row r="117" ht="15" hidden="0">
      <x:c r="A117" s="10" t="str">
        <x:v>P128</x:v>
      </x:c>
      <x:c r="B117" s="90" t="str">
        <x:v>现代</x:v>
      </x:c>
      <x:c r="C117" s="6" t="str">
        <x:v>家电商场</x:v>
      </x:c>
      <x:c r="D117" s="13" t="str">
        <x:v>服务</x:v>
      </x:c>
      <x:c r="E117" s="6" t="str">
        <x:v>分期售电视机</x:v>
      </x:c>
      <x:c r="F117" s="13" t="str">
        <x:v>新增</x:v>
      </x:c>
      <x:c r="G117" s="6" t="str">
        <x:v>电视机</x:v>
      </x:c>
      <x:c r="H117" s="6" t="str">
        <x:v>信用额度</x:v>
      </x:c>
      <x:c r="I117" s="6"/>
      <x:c r="J117" s="21"/>
      <x:c r="K117" s="21"/>
      <x:c r="L117" s="21"/>
      <x:c r="M117" s="6" t="str">
        <x:v>债务合同</x:v>
      </x:c>
      <x:c r="N117" s="21" t="str">
        <x:v>面包</x:v>
      </x:c>
      <x:c r="O117" s="6" t="str">
        <x:v>预支</x:v>
      </x:c>
      <x:c r="P117" s="13" t="str">
        <x:v>否</x:v>
      </x:c>
      <x:c r="Q117" s="6" t="str">
        <x:v>电视机</x:v>
      </x:c>
      <x:c r="R117" s="6"/>
      <x:c r="S117" s="10" t="str">
        <x:f aca="0">IF(M117="","",IFERROR(INDEX(物品!$D$4:$D$103,MATCH(M117,物品!$B$4:$B$103,0)),""))</x:f>
        <x:v>金融品</x:v>
      </x:c>
    </x:row>
    <x:row r="118" ht="15" hidden="0">
      <x:c r="A118" s="10" t="str">
        <x:v>P129</x:v>
      </x:c>
      <x:c r="B118" s="90" t="str">
        <x:v>现代</x:v>
      </x:c>
      <x:c r="C118" s="6" t="str">
        <x:v>银行</x:v>
      </x:c>
      <x:c r="D118" s="13" t="str">
        <x:v>服务</x:v>
      </x:c>
      <x:c r="E118" s="6" t="str">
        <x:v>收贷</x:v>
      </x:c>
      <x:c r="F118" s="13" t="str">
        <x:v>新增</x:v>
      </x:c>
      <x:c r="G118" s="6" t="str">
        <x:v>债务合同</x:v>
      </x:c>
      <x:c r="H118" s="6" t="str">
        <x:v>面包</x:v>
      </x:c>
      <x:c r="I118" s="6"/>
      <x:c r="J118" s="21"/>
      <x:c r="K118" s="21"/>
      <x:c r="L118" s="21"/>
      <x:c r="M118" s="6" t="str">
        <x:v>信用额度</x:v>
      </x:c>
      <x:c r="N118" s="21"/>
      <x:c r="O118" s="6" t="str">
        <x:v>预支（还款）</x:v>
      </x:c>
      <x:c r="P118" s="13" t="str">
        <x:v>否</x:v>
      </x:c>
      <x:c r="Q118" s="6"/>
      <x:c r="R118" s="21" t="str">
        <x:v>小人用面包还款，额度回流。债务是固定开销，让目标收入变刚性。</x:v>
      </x:c>
      <x:c r="S118" s="10" t="str">
        <x:f aca="0">IF(M118="","",IFERROR(INDEX(物品!$D$4:$D$103,MATCH(M118,物品!$B$4:$B$103,0)),""))</x:f>
        <x:v>金融品</x:v>
      </x:c>
    </x:row>
    <x:row r="119" ht="15" hidden="0">
      <x:c r="A119" s="10"/>
      <x:c r="B119" s="15"/>
      <x:c r="C119" s="6"/>
      <x:c r="D119" s="13"/>
      <x:c r="E119" s="6"/>
      <x:c r="F119" s="13"/>
      <x:c r="G119" s="6"/>
      <x:c r="H119" s="6"/>
      <x:c r="I119" s="6"/>
      <x:c r="J119" s="21"/>
      <x:c r="K119" s="21"/>
      <x:c r="L119" s="21"/>
      <x:c r="M119" s="6"/>
      <x:c r="N119" s="21"/>
      <x:c r="O119" s="6"/>
      <x:c r="P119" s="13"/>
      <x:c r="Q119" s="6"/>
      <x:c r="R119" s="21"/>
      <x:c r="S119" s="10">
        <x:f aca="0"/>
      </x:c>
    </x:row>
    <x:row r="120" ht="15" hidden="0">
      <x:c r="A120" s="10"/>
      <x:c r="B120" s="15"/>
      <x:c r="C120" s="6"/>
      <x:c r="D120" s="13"/>
      <x:c r="E120" s="6"/>
      <x:c r="F120" s="13"/>
      <x:c r="G120" s="6"/>
      <x:c r="H120" s="6"/>
      <x:c r="I120" s="21"/>
      <x:c r="J120" s="21"/>
      <x:c r="K120" s="21"/>
      <x:c r="L120" s="21"/>
      <x:c r="M120" s="6"/>
      <x:c r="N120" s="21"/>
      <x:c r="O120" s="6"/>
      <x:c r="P120" s="13"/>
      <x:c r="Q120" s="6"/>
      <x:c r="R120" s="21"/>
      <x:c r="S120" s="10">
        <x:f aca="0"/>
      </x:c>
    </x:row>
    <x:row r="121" ht="15" hidden="0">
      <x:c r="A121" s="10"/>
      <x:c r="B121" s="14"/>
      <x:c r="C121" s="6"/>
      <x:c r="D121" s="13"/>
      <x:c r="E121" s="6"/>
      <x:c r="F121" s="13"/>
      <x:c r="G121" s="6"/>
      <x:c r="H121" s="6"/>
      <x:c r="I121" s="6"/>
      <x:c r="J121" s="21"/>
      <x:c r="K121" s="21"/>
      <x:c r="L121" s="21"/>
      <x:c r="M121" s="6"/>
      <x:c r="N121" s="6"/>
      <x:c r="O121" s="6"/>
      <x:c r="P121" s="13"/>
      <x:c r="Q121" s="6"/>
      <x:c r="R121" s="6"/>
      <x:c r="S121" s="10">
        <x:f aca="0"/>
      </x:c>
    </x:row>
    <x:row r="122" ht="15" hidden="0">
      <x:c r="A122" s="10"/>
      <x:c r="B122" s="14"/>
      <x:c r="C122" s="6"/>
      <x:c r="D122" s="13"/>
      <x:c r="E122" s="6"/>
      <x:c r="F122" s="13"/>
      <x:c r="G122" s="6"/>
      <x:c r="H122" s="6"/>
      <x:c r="I122" s="21"/>
      <x:c r="J122" s="21"/>
      <x:c r="K122" s="21"/>
      <x:c r="L122" s="21"/>
      <x:c r="M122" s="6"/>
      <x:c r="N122" s="21"/>
      <x:c r="O122" s="6"/>
      <x:c r="P122" s="13"/>
      <x:c r="Q122" s="21"/>
      <x:c r="R122" s="6"/>
      <x:c r="S122" s="10">
        <x:f aca="0"/>
      </x:c>
    </x:row>
    <x:row r="123" ht="29.850000381469727" hidden="0">
      <x:c r="A123" s="10"/>
      <x:c r="B123" s="15"/>
      <x:c r="C123" s="6"/>
      <x:c r="D123" s="13"/>
      <x:c r="E123" s="6"/>
      <x:c r="F123" s="13"/>
      <x:c r="G123" s="6"/>
      <x:c r="H123" s="6"/>
      <x:c r="I123" s="21"/>
      <x:c r="J123" s="21"/>
      <x:c r="K123" s="21"/>
      <x:c r="L123" s="21"/>
      <x:c r="M123" s="6"/>
      <x:c r="N123" s="21"/>
      <x:c r="O123" s="6"/>
      <x:c r="P123" s="13"/>
      <x:c r="Q123" s="6"/>
      <x:c r="R123" s="6"/>
      <x:c r="S123" s="10">
        <x:f aca="0"/>
      </x:c>
    </x:row>
    <x:row r="124" ht="15" hidden="0">
      <x:c r="A124" s="10"/>
      <x:c r="B124" s="15"/>
      <x:c r="C124" s="6"/>
      <x:c r="D124" s="13"/>
      <x:c r="E124" s="6"/>
      <x:c r="F124" s="13"/>
      <x:c r="G124" s="21"/>
      <x:c r="H124" s="21"/>
      <x:c r="I124" s="21"/>
      <x:c r="J124" s="21"/>
      <x:c r="K124" s="21"/>
      <x:c r="L124" s="21"/>
      <x:c r="M124" s="6"/>
      <x:c r="N124" s="21"/>
      <x:c r="O124" s="6"/>
      <x:c r="P124" s="13"/>
      <x:c r="Q124" s="6"/>
      <x:c r="R124" s="6"/>
      <x:c r="S124" s="10">
        <x:f aca="0"/>
      </x:c>
    </x:row>
    <x:row r="125" ht="15" hidden="0">
      <x:c r="A125" s="10"/>
      <x:c r="B125" s="15"/>
      <x:c r="C125" s="6"/>
      <x:c r="D125" s="13"/>
      <x:c r="E125" s="6"/>
      <x:c r="F125" s="13"/>
      <x:c r="G125" s="6"/>
      <x:c r="H125" s="21"/>
      <x:c r="I125" s="21"/>
      <x:c r="J125" s="21"/>
      <x:c r="K125" s="21"/>
      <x:c r="L125" s="21"/>
      <x:c r="M125" s="6"/>
      <x:c r="N125" s="21"/>
      <x:c r="O125" s="6"/>
      <x:c r="P125" s="13"/>
      <x:c r="Q125" s="21"/>
      <x:c r="R125" s="6"/>
      <x:c r="S125" s="10">
        <x:f aca="0"/>
      </x:c>
    </x:row>
    <x:row r="126" ht="29.850000381469727" hidden="0">
      <x:c r="A126" s="10"/>
      <x:c r="B126" s="14"/>
      <x:c r="C126" s="6"/>
      <x:c r="D126" s="13"/>
      <x:c r="E126" s="6"/>
      <x:c r="F126" s="13"/>
      <x:c r="G126" s="6"/>
      <x:c r="H126" s="6"/>
      <x:c r="I126" s="21"/>
      <x:c r="J126" s="21"/>
      <x:c r="K126" s="21"/>
      <x:c r="L126" s="21"/>
      <x:c r="M126" s="6"/>
      <x:c r="N126" s="6"/>
      <x:c r="O126" s="6"/>
      <x:c r="P126" s="13"/>
      <x:c r="Q126" s="6"/>
      <x:c r="R126" s="6"/>
      <x:c r="S126" s="10">
        <x:f aca="0"/>
      </x:c>
    </x:row>
    <x:row r="127" ht="15" hidden="0">
      <x:c r="A127" s="10"/>
      <x:c r="B127" s="15"/>
      <x:c r="C127" s="6"/>
      <x:c r="D127" s="13"/>
      <x:c r="E127" s="6"/>
      <x:c r="F127" s="13"/>
      <x:c r="G127" s="6"/>
      <x:c r="H127" s="6"/>
      <x:c r="I127" s="21"/>
      <x:c r="J127" s="21"/>
      <x:c r="K127" s="21"/>
      <x:c r="L127" s="21"/>
      <x:c r="M127" s="6"/>
      <x:c r="N127" s="6"/>
      <x:c r="O127" s="6"/>
      <x:c r="P127" s="13"/>
      <x:c r="Q127" s="6"/>
      <x:c r="R127" s="21"/>
      <x:c r="S127" s="10">
        <x:f aca="0"/>
      </x:c>
    </x:row>
    <x:row r="128" ht="15" hidden="0">
      <x:c r="A128" s="10"/>
      <x:c r="B128" s="15"/>
      <x:c r="C128" s="6"/>
      <x:c r="D128" s="13"/>
      <x:c r="E128" s="6"/>
      <x:c r="F128" s="13"/>
      <x:c r="G128" s="6"/>
      <x:c r="H128" s="6"/>
      <x:c r="I128" s="21"/>
      <x:c r="J128" s="21"/>
      <x:c r="K128" s="21"/>
      <x:c r="L128" s="21"/>
      <x:c r="M128" s="6"/>
      <x:c r="N128" s="6"/>
      <x:c r="O128" s="6"/>
      <x:c r="P128" s="13"/>
      <x:c r="Q128" s="6"/>
      <x:c r="R128" s="21"/>
      <x:c r="S128" s="10">
        <x:f aca="0"/>
      </x:c>
    </x:row>
    <x:row r="129" ht="15" hidden="0">
      <x:c r="A129" s="10"/>
      <x:c r="B129" s="15"/>
      <x:c r="C129" s="6"/>
      <x:c r="D129" s="13"/>
      <x:c r="E129" s="6"/>
      <x:c r="F129" s="13"/>
      <x:c r="G129" s="6"/>
      <x:c r="H129" s="6"/>
      <x:c r="I129" s="21"/>
      <x:c r="J129" s="21"/>
      <x:c r="K129" s="21"/>
      <x:c r="L129" s="21"/>
      <x:c r="M129" s="6"/>
      <x:c r="N129" s="6"/>
      <x:c r="O129" s="6"/>
      <x:c r="P129" s="13"/>
      <x:c r="Q129" s="6"/>
      <x:c r="R129" s="21"/>
      <x:c r="S129" s="10">
        <x:f aca="0"/>
      </x:c>
    </x:row>
    <x:row r="130" ht="15" hidden="0">
      <x:c r="A130" s="10"/>
      <x:c r="B130" s="15"/>
      <x:c r="C130" s="6"/>
      <x:c r="D130" s="13"/>
      <x:c r="E130" s="6"/>
      <x:c r="F130" s="13"/>
      <x:c r="G130" s="6"/>
      <x:c r="H130" s="6"/>
      <x:c r="I130" s="21"/>
      <x:c r="J130" s="21"/>
      <x:c r="K130" s="21"/>
      <x:c r="L130" s="21"/>
      <x:c r="M130" s="6"/>
      <x:c r="N130" s="6"/>
      <x:c r="O130" s="6"/>
      <x:c r="P130" s="13"/>
      <x:c r="Q130" s="6"/>
      <x:c r="R130" s="21"/>
      <x:c r="S130" s="10">
        <x:f aca="0"/>
      </x:c>
    </x:row>
    <x:row r="131" ht="15" hidden="0">
      <x:c r="A131" s="10"/>
      <x:c r="B131" s="15"/>
      <x:c r="C131" s="6"/>
      <x:c r="D131" s="13"/>
      <x:c r="E131" s="6"/>
      <x:c r="F131" s="13"/>
      <x:c r="G131" s="6"/>
      <x:c r="H131" s="6"/>
      <x:c r="I131" s="21"/>
      <x:c r="J131" s="21"/>
      <x:c r="K131" s="21"/>
      <x:c r="L131" s="21"/>
      <x:c r="M131" s="6"/>
      <x:c r="N131" s="6"/>
      <x:c r="O131" s="6"/>
      <x:c r="P131" s="13"/>
      <x:c r="Q131" s="6"/>
      <x:c r="R131" s="21"/>
      <x:c r="S131" s="10">
        <x:f aca="0"/>
      </x:c>
    </x:row>
    <x:row r="132" ht="29.850000381469727" hidden="0">
      <x:c r="A132" s="10"/>
      <x:c r="B132" s="15"/>
      <x:c r="C132" s="6"/>
      <x:c r="D132" s="13"/>
      <x:c r="E132" s="6"/>
      <x:c r="F132" s="13"/>
      <x:c r="G132" s="6"/>
      <x:c r="H132" s="6"/>
      <x:c r="I132" s="21"/>
      <x:c r="J132" s="21"/>
      <x:c r="K132" s="21"/>
      <x:c r="L132" s="21"/>
      <x:c r="M132" s="6"/>
      <x:c r="N132" s="21"/>
      <x:c r="O132" s="6"/>
      <x:c r="P132" s="13"/>
      <x:c r="Q132" s="21"/>
      <x:c r="R132" s="6"/>
      <x:c r="S132" s="10">
        <x:f aca="0"/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C55A11"/>
  </x:sheetPr>
  <x:sheetViews>
    <x:sheetView showGridLines="1" workbookViewId="0">
      <x:pane xSplit="1" ySplit="3" topLeftCell="B4" activePane="bottomRight" state="frozen"/>
    </x:sheetView>
  </x:sheetViews>
  <x:sheetFormatPr defaultColWidth="8.6796875" defaultRowHeight="15"/>
  <x:cols>
    <x:col min="1" max="1" width="14" hidden="0" customWidth="1"/>
    <x:col min="2" max="2" width="8" hidden="0" customWidth="1"/>
    <x:col min="3" max="3" width="9" hidden="0" customWidth="1"/>
    <x:col min="4" max="4" width="11" hidden="0" customWidth="1"/>
    <x:col min="5" max="8" width="10" hidden="0" customWidth="1"/>
    <x:col min="9" max="10" width="12" hidden="0" customWidth="1"/>
    <x:col min="11" max="11" width="34" hidden="0" customWidth="1"/>
  </x:cols>
  <x:sheetData>
    <x:row r="1" ht="21.600000381469727" hidden="0">
      <x:c r="A1" s="1" t="s">
        <x:v>101</x:v>
      </x:c>
    </x:row>
    <x:row r="2" ht="15" hidden="0">
      <x:c r="A2" s="2" t="str">
        <x:v>所有数字都由“物品”和“建筑配方”两张表自动算出，已同步合并结果；合并项与配方删减详见“合并记录”。</x:v>
      </x:c>
    </x:row>
    <x:row r="3" ht="39.75" hidden="0" customHeight="1">
      <x:c r="A3" s="5" t="s">
        <x:v>102</x:v>
      </x:c>
      <x:c r="B3" s="5" t="s">
        <x:v>73</x:v>
      </x:c>
      <x:c r="C3" s="5" t="s">
        <x:v>79</x:v>
      </x:c>
      <x:c r="D3" s="5" t="s">
        <x:v>103</x:v>
      </x:c>
      <x:c r="E3" s="5" t="s">
        <x:v>104</x:v>
      </x:c>
      <x:c r="F3" s="5" t="s">
        <x:v>105</x:v>
      </x:c>
      <x:c r="G3" s="5" t="s">
        <x:v>106</x:v>
      </x:c>
      <x:c r="H3" s="5" t="s">
        <x:v>107</x:v>
      </x:c>
      <x:c r="I3" s="5" t="s">
        <x:v>108</x:v>
      </x:c>
      <x:c r="J3" s="5" t="s">
        <x:v>109</x:v>
      </x:c>
      <x:c r="K3" s="5" t="s">
        <x:v>110</x:v>
      </x:c>
    </x:row>
    <x:row r="4" ht="15" hidden="0">
      <x:c r="A4" s="6" t="s">
        <x:v>111</x:v>
      </x:c>
      <x:c r="B4" s="11" t="s">
        <x:v>112</x:v>
      </x:c>
      <x:c r="C4" s="13" t="s">
        <x:v>113</x:v>
      </x:c>
      <x:c r="D4" s="10" t="str">
        <x:f aca="0">IFERROR(INDEX(建筑配方!$C$4:$C$118,MATCH(A4,建筑配方!$M$4:$M$118,0)),"")</x:f>
        <x:v>营造厂</x:v>
      </x:c>
      <x:c r="E4" s="10" t="n">
        <x:f aca="0">SUMPRODUCT((建筑配方!$M$4:$M$118=A4)*((建筑配方!$G$4:$G$118&lt;&gt;"")+(建筑配方!$H$4:$H$118&lt;&gt;"")+(建筑配方!$I$4:$I$118&lt;&gt;"")+(建筑配方!$J$4:$J$118&lt;&gt;"")+(建筑配方!$K$4:$K$118&lt;&gt;"")+(建筑配方!$L$4:$L$118&lt;&gt;"")))</x:f>
        <x:v>2</x:v>
      </x:c>
      <x:c r="F4" s="10" t="n">
        <x:f aca="0">SUMPRODUCT((建筑配方!$C$4:$C$118=A4)*(建筑配方!$D$4:$D$118="使用")*((建筑配方!$G$4:$G$118&lt;&gt;"")+(建筑配方!$H$4:$H$118&lt;&gt;"")+(建筑配方!$I$4:$I$118&lt;&gt;"")+(建筑配方!$J$4:$J$118&lt;&gt;"")+(建筑配方!$K$4:$K$118&lt;&gt;"")+(建筑配方!$L$4:$L$118&lt;&gt;"")))</x:f>
        <x:v>0</x:v>
      </x:c>
      <x:c r="G4" s="10" t="n">
        <x:f aca="0">SUMPRODUCT((建筑配方!$C$4:$C$118=A4)*(建筑配方!$D$4:$D$118="使用")*(建筑配方!$N$4:$N$118&lt;&gt;""))</x:f>
        <x:v>0</x:v>
      </x:c>
      <x:c r="H4" s="10" t="n">
        <x:f aca="0">SUM(IF(建筑配方!$D$4="维护",IFERROR(IF(SEARCH(A4,建筑配方!$Q$4)&gt;0,1,0),0),0),IF(建筑配方!$D$5="维护",IFERROR(IF(SEARCH(A4,建筑配方!$Q$5)&gt;0,1,0),0),0),IF(建筑配方!$D$6="维护",IFERROR(IF(SEARCH(A4,建筑配方!$Q$6)&gt;0,1,0),0),0),IF(建筑配方!$D$7="维护",IFERROR(IF(SEARCH(A4,建筑配方!$Q$7)&gt;0,1,0),0),0),IF(建筑配方!$D$8="维护",IFERROR(IF(SEARCH(A4,建筑配方!$Q$8)&gt;0,1,0),0),0),IF(建筑配方!$D$9="维护",IFERROR(IF(SEARCH(A4,建筑配方!$Q$9)&gt;0,1,0),0),0),IF(建筑配方!$D$10="维护",IFERROR(IF(SEARCH(A4,建筑配方!$Q$10)&gt;0,1,0),0),0),IF(建筑配方!$D$11="维护",IFERROR(IF(SEARCH(A4,建筑配方!$Q$11)&gt;0,1,0),0),0),IF(建筑配方!$D$12="维护",IFERROR(IF(SEARCH(A4,建筑配方!$Q$12)&gt;0,1,0),0),0),IF(建筑配方!$D$13="维护",IFERROR(IF(SEARCH(A4,建筑配方!$Q$13)&gt;0,1,0),0),0),IF(建筑配方!$D$14="维护",IFERROR(IF(SEARCH(A4,建筑配方!$Q$14)&gt;0,1,0),0),0),IF(建筑配方!$D$15="维护",IFERROR(IF(SEARCH(A4,建筑配方!$Q$15)&gt;0,1,0),0),0),IF(建筑配方!$D$16="维护",IFERROR(IF(SEARCH(A4,建筑配方!$Q$16)&gt;0,1,0),0),0),IF(建筑配方!$D$17="维护",IFERROR(IF(SEARCH(A4,建筑配方!$Q$17)&gt;0,1,0),0),0),IF(建筑配方!$D$18="维护",IFERROR(IF(SEARCH(A4,建筑配方!$Q$18)&gt;0,1,0),0),0),IF(建筑配方!$D$19="维护",IFERROR(IF(SEARCH(A4,建筑配方!$Q$19)&gt;0,1,0),0),0),IF(建筑配方!$D$20="维护",IFERROR(IF(SEARCH(A4,建筑配方!$Q$20)&gt;0,1,0),0),0),IF(建筑配方!$D$21="维护",IFERROR(IF(SEARCH(A4,建筑配方!$Q$21)&gt;0,1,0),0),0),IF(建筑配方!$D$22="维护",IFERROR(IF(SEARCH(A4,建筑配方!$Q$22)&gt;0,1,0),0),0),IF(建筑配方!$D$23="维护",IFERROR(IF(SEARCH(A4,建筑配方!$Q$23)&gt;0,1,0),0),0),IF(建筑配方!$D$24="维护",IFERROR(IF(SEARCH(A4,建筑配方!$Q$24)&gt;0,1,0),0),0),IF(建筑配方!$D$25="维护",IFERROR(IF(SEARCH(A4,建筑配方!$Q$25)&gt;0,1,0),0),0),IF(建筑配方!$D$26="维护",IFERROR(IF(SEARCH(A4,建筑配方!$Q$26)&gt;0,1,0),0),0),IF(建筑配方!$D$27="维护",IFERROR(IF(SEARCH(A4,建筑配方!$Q$27)&gt;0,1,0),0),0),IF(建筑配方!$D$28="维护",IFERROR(IF(SEARCH(A4,建筑配方!$Q$28)&gt;0,1,0),0),0),IF(建筑配方!$D$29="维护",IFERROR(IF(SEARCH(A4,建筑配方!$Q$29)&gt;0,1,0),0),0),IF(建筑配方!$D$30="维护",IFERROR(IF(SEARCH(A4,建筑配方!$Q$30)&gt;0,1,0),0),0),IF(建筑配方!$D$31="维护",IFERROR(IF(SEARCH(A4,建筑配方!$Q$31)&gt;0,1,0),0),0),IF(建筑配方!$D$32="维护",IFERROR(IF(SEARCH(A4,建筑配方!$Q$32)&gt;0,1,0),0),0),IF(建筑配方!$D$33="维护",IFERROR(IF(SEARCH(A4,建筑配方!$Q$33)&gt;0,1,0),0),0),IF(建筑配方!$D$34="维护",IFERROR(IF(SEARCH(A4,建筑配方!$Q$34)&gt;0,1,0),0),0),IF(建筑配方!$D$35="维护",IFERROR(IF(SEARCH(A4,建筑配方!$Q$35)&gt;0,1,0),0),0),IF(建筑配方!$D$36="维护",IFERROR(IF(SEARCH(A4,建筑配方!$Q$36)&gt;0,1,0),0),0),IF(建筑配方!$D$37="维护",IFERROR(IF(SEARCH(A4,建筑配方!$Q$37)&gt;0,1,0),0),0),IF(建筑配方!$D$38="维护",IFERROR(IF(SEARCH(A4,建筑配方!$Q$38)&gt;0,1,0),0),0),IF(建筑配方!$D$39="维护",IFERROR(IF(SEARCH(A4,建筑配方!$Q$39)&gt;0,1,0),0),0),IF(建筑配方!$D$40="维护",IFERROR(IF(SEARCH(A4,建筑配方!$Q$40)&gt;0,1,0),0),0),IF(建筑配方!$D$41="维护",IFERROR(IF(SEARCH(A4,建筑配方!$Q$41)&gt;0,1,0),0),0),IF(建筑配方!$D$42="维护",IFERROR(IF(SEARCH(A4,建筑配方!$Q$42)&gt;0,1,0),0),0),IF(建筑配方!$D$43="维护",IFERROR(IF(SEARCH(A4,建筑配方!$Q$43)&gt;0,1,0),0),0),IF(建筑配方!$D$44="维护",IFERROR(IF(SEARCH(A4,建筑配方!$Q$44)&gt;0,1,0),0),0),IF(建筑配方!$D$45="维护",IFERROR(IF(SEARCH(A4,建筑配方!$Q$45)&gt;0,1,0),0),0),IF(建筑配方!$D$46="维护",IFERROR(IF(SEARCH(A4,建筑配方!$Q$46)&gt;0,1,0),0),0),IF(建筑配方!$D$47="维护",IFERROR(IF(SEARCH(A4,建筑配方!$Q$47)&gt;0,1,0),0),0),IF(建筑配方!$D$48="维护",IFERROR(IF(SEARCH(A4,建筑配方!$Q$48)&gt;0,1,0),0),0),IF(建筑配方!$D$49="维护",IFERROR(IF(SEARCH(A4,建筑配方!$Q$49)&gt;0,1,0),0),0),IF(建筑配方!$D$50="维护",IFERROR(IF(SEARCH(A4,建筑配方!$Q$50)&gt;0,1,0),0),0),IF(建筑配方!$D$51="维护",IFERROR(IF(SEARCH(A4,建筑配方!$Q$51)&gt;0,1,0),0),0),IF(建筑配方!$D$52="维护",IFERROR(IF(SEARCH(A4,建筑配方!$Q$52)&gt;0,1,0),0),0),IF(建筑配方!$D$53="维护",IFERROR(IF(SEARCH(A4,建筑配方!$Q$53)&gt;0,1,0),0),0),IF(建筑配方!$D$54="维护",IFERROR(IF(SEARCH(A4,建筑配方!$Q$54)&gt;0,1,0),0),0),IF(建筑配方!$D$55="维护",IFERROR(IF(SEARCH(A4,建筑配方!$Q$55)&gt;0,1,0),0),0),IF(建筑配方!$D$56="维护",IFERROR(IF(SEARCH(A4,建筑配方!$Q$56)&gt;0,1,0),0),0),IF(建筑配方!$D$57="维护",IFERROR(IF(SEARCH(A4,建筑配方!$Q$57)&gt;0,1,0),0),0),IF(建筑配方!$D$58="维护",IFERROR(IF(SEARCH(A4,建筑配方!$Q$58)&gt;0,1,0),0),0),IF(建筑配方!$D$59="维护",IFERROR(IF(SEARCH(A4,建筑配方!$Q$59)&gt;0,1,0),0),0),IF(建筑配方!$D$60="维护",IFERROR(IF(SEARCH(A4,建筑配方!$Q$60)&gt;0,1,0),0),0),IF(建筑配方!$D$61="维护",IFERROR(IF(SEARCH(A4,建筑配方!$Q$61)&gt;0,1,0),0),0),IF(建筑配方!$D$62="维护",IFERROR(IF(SEARCH(A4,建筑配方!$Q$62)&gt;0,1,0),0),0),IF(建筑配方!$D$63="维护",IFERROR(IF(SEARCH(A4,建筑配方!$Q$63)&gt;0,1,0),0),0),IF(建筑配方!$D$64="维护",IFERROR(IF(SEARCH(A4,建筑配方!$Q$64)&gt;0,1,0),0),0),IF(建筑配方!$D$65="维护",IFERROR(IF(SEARCH(A4,建筑配方!$Q$65)&gt;0,1,0),0),0),IF(建筑配方!$D$66="维护",IFERROR(IF(SEARCH(A4,建筑配方!$Q$66)&gt;0,1,0),0),0),IF(建筑配方!$D$67="维护",IFERROR(IF(SEARCH(A4,建筑配方!$Q$67)&gt;0,1,0),0),0),IF(建筑配方!$D$68="维护",IFERROR(IF(SEARCH(A4,建筑配方!$Q$68)&gt;0,1,0),0),0),IF(建筑配方!$D$69="维护",IFERROR(IF(SEARCH(A4,建筑配方!$Q$69)&gt;0,1,0),0),0),IF(建筑配方!$D$70="维护",IFERROR(IF(SEARCH(A4,建筑配方!$Q$70)&gt;0,1,0),0),0),IF(建筑配方!$D$71="维护",IFERROR(IF(SEARCH(A4,建筑配方!$Q$71)&gt;0,1,0),0),0),IF(建筑配方!$D$72="维护",IFERROR(IF(SEARCH(A4,建筑配方!$Q$72)&gt;0,1,0),0),0),IF(建筑配方!$D$73="维护",IFERROR(IF(SEARCH(A4,建筑配方!$Q$73)&gt;0,1,0),0),0),IF(建筑配方!$D$74="维护",IFERROR(IF(SEARCH(A4,建筑配方!$Q$74)&gt;0,1,0),0),0),IF(建筑配方!$D$75="维护",IFERROR(IF(SEARCH(A4,建筑配方!$Q$75)&gt;0,1,0),0),0),IF(建筑配方!$D$76="维护",IFERROR(IF(SEARCH(A4,建筑配方!$Q$76)&gt;0,1,0),0),0),IF(建筑配方!$D$77="维护",IFERROR(IF(SEARCH(A4,建筑配方!$Q$77)&gt;0,1,0),0),0),IF(建筑配方!$D$78="维护",IFERROR(IF(SEARCH(A4,建筑配方!$Q$78)&gt;0,1,0),0),0),IF(建筑配方!$D$79="维护",IFERROR(IF(SEARCH(A4,建筑配方!$Q$79)&gt;0,1,0),0),0),IF(建筑配方!$D$80="维护",IFERROR(IF(SEARCH(A4,建筑配方!$Q$80)&gt;0,1,0),0),0),IF(建筑配方!$D$81="维护",IFERROR(IF(SEARCH(A4,建筑配方!$Q$81)&gt;0,1,0),0),0),IF(建筑配方!$D$82="维护",IFERROR(IF(SEARCH(A4,建筑配方!$Q$82)&gt;0,1,0),0),0),IF(建筑配方!$D$83="维护",IFERROR(IF(SEARCH(A4,建筑配方!$Q$83)&gt;0,1,0),0),0),IF(建筑配方!$D$84="维护",IFERROR(IF(SEARCH(A4,建筑配方!$Q$84)&gt;0,1,0),0),0),IF(建筑配方!$D$85="维护",IFERROR(IF(SEARCH(A4,建筑配方!$Q$85)&gt;0,1,0),0),0),IF(建筑配方!$D$86="维护",IFERROR(IF(SEARCH(A4,建筑配方!$Q$86)&gt;0,1,0),0),0),IF(建筑配方!$D$87="维护",IFERROR(IF(SEARCH(A4,建筑配方!$Q$87)&gt;0,1,0),0),0),IF(建筑配方!$D$88="维护",IFERROR(IF(SEARCH(A4,建筑配方!$Q$88)&gt;0,1,0),0),0),IF(建筑配方!$D$89="维护",IFERROR(IF(SEARCH(A4,建筑配方!$Q$89)&gt;0,1,0),0),0),IF(建筑配方!$D$90="维护",IFERROR(IF(SEARCH(A4,建筑配方!$Q$90)&gt;0,1,0),0),0),IF(建筑配方!$D$91="维护",IFERROR(IF(SEARCH(A4,建筑配方!$Q$91)&gt;0,1,0),0),0),IF(建筑配方!$D$92="维护",IFERROR(IF(SEARCH(A4,建筑配方!$Q$92)&gt;0,1,0),0),0),IF(建筑配方!$D$93="维护",IFERROR(IF(SEARCH(A4,建筑配方!$Q$93)&gt;0,1,0),0),0),IF(建筑配方!$D$94="维护",IFERROR(IF(SEARCH(A4,建筑配方!$Q$94)&gt;0,1,0),0),0),IF(建筑配方!$D$95="维护",IFERROR(IF(SEARCH(A4,建筑配方!$Q$95)&gt;0,1,0),0),0),IF(建筑配方!$D$96="维护",IFERROR(IF(SEARCH(A4,建筑配方!$Q$96)&gt;0,1,0),0),0),IF(建筑配方!$D$97="维护",IFERROR(IF(SEARCH(A4,建筑配方!$Q$97)&gt;0,1,0),0),0),IF(建筑配方!$D$98="维护",IFERROR(IF(SEARCH(A4,建筑配方!$Q$98)&gt;0,1,0),0),0),IF(建筑配方!$D$99="维护",IFERROR(IF(SEARCH(A4,建筑配方!$Q$99)&gt;0,1,0),0),0),IF(建筑配方!$D$100="维护",IFERROR(IF(SEARCH(A4,建筑配方!$Q$100)&gt;0,1,0),0),0),IF(建筑配方!$D$101="维护",IFERROR(IF(SEARCH(A4,建筑配方!$Q$101)&gt;0,1,0),0),0),IF(建筑配方!$D$102="维护",IFERROR(IF(SEARCH(A4,建筑配方!$Q$102)&gt;0,1,0),0),0),IF(建筑配方!$D$103="维护",IFERROR(IF(SEARCH(A4,建筑配方!$Q$103)&gt;0,1,0),0),0),IF(建筑配方!$D$104="维护",IFERROR(IF(SEARCH(A4,建筑配方!$Q$104)&gt;0,1,0),0),0),IF(建筑配方!$D$105="维护",IFERROR(IF(SEARCH(A4,建筑配方!$Q$105)&gt;0,1,0),0),0),IF(建筑配方!$D$106="维护",IFERROR(IF(SEARCH(A4,建筑配方!$Q$106)&gt;0,1,0),0),0),IF(建筑配方!$D$107="维护",IFERROR(IF(SEARCH(A4,建筑配方!$Q$107)&gt;0,1,0),0),0),IF(建筑配方!$D$108="维护",IFERROR(IF(SEARCH(A4,建筑配方!$Q$108)&gt;0,1,0),0),0),IF(建筑配方!$D$109="维护",IFERROR(IF(SEARCH(A4,建筑配方!$Q$109)&gt;0,1,0),0),0),IF(建筑配方!$D$110="维护",IFERROR(IF(SEARCH(A4,建筑配方!$Q$110)&gt;0,1,0),0),0),IF(建筑配方!$D$111="维护",IFERROR(IF(SEARCH(A4,建筑配方!$Q$111)&gt;0,1,0),0),0),IF(建筑配方!$D$112="维护",IFERROR(IF(SEARCH(A4,建筑配方!$Q$112)&gt;0,1,0),0),0),IF(建筑配方!$D$113="维护",IFERROR(IF(SEARCH(A4,建筑配方!$Q$113)&gt;0,1,0),0),0),IF(建筑配方!$D$114="维护",IFERROR(IF(SEARCH(A4,建筑配方!$Q$114)&gt;0,1,0),0),0),IF(建筑配方!$D$115="维护",IFERROR(IF(SEARCH(A4,建筑配方!$Q$115)&gt;0,1,0),0),0),IF(建筑配方!$D$116="维护",IFERROR(IF(SEARCH(A4,建筑配方!$Q$116)&gt;0,1,0),0),0),IF(建筑配方!$D$117="维护",IFERROR(IF(SEARCH(A4,建筑配方!$Q$117)&gt;0,1,0),0),0),IF(建筑配方!$D$118="维护",IFERROR(IF(SEARCH(A4,建筑配方!$Q$118)&gt;0,1,0),0),0))</x:f>
        <x:v>1</x:v>
      </x:c>
      <x:c r="I4" s="10" t="n">
        <x:f aca="0">SUM(IFERROR(IF(SEARCH(A4,物品!$H$4)&gt;0,1,0),0),IFERROR(IF(SEARCH(A4,物品!$H$5)&gt;0,1,0),0),IFERROR(IF(SEARCH(A4,物品!$H$6)&gt;0,1,0),0),IFERROR(IF(SEARCH(A4,物品!$H$7)&gt;0,1,0),0),IFERROR(IF(SEARCH(A4,物品!$H$8)&gt;0,1,0),0),IFERROR(IF(SEARCH(A4,物品!$H$9)&gt;0,1,0),0),IFERROR(IF(SEARCH(A4,物品!$H$10)&gt;0,1,0),0),IFERROR(IF(SEARCH(A4,物品!$H$11)&gt;0,1,0),0),IFERROR(IF(SEARCH(A4,物品!$H$12)&gt;0,1,0),0),IFERROR(IF(SEARCH(A4,物品!$H$13)&gt;0,1,0),0),IFERROR(IF(SEARCH(A4,物品!$H$14)&gt;0,1,0),0),IFERROR(IF(SEARCH(A4,物品!$H$15)&gt;0,1,0),0),IFERROR(IF(SEARCH(A4,物品!$H$16)&gt;0,1,0),0),IFERROR(IF(SEARCH(A4,物品!$H$17)&gt;0,1,0),0),IFERROR(IF(SEARCH(A4,物品!$H$18)&gt;0,1,0),0),IFERROR(IF(SEARCH(A4,物品!$H$19)&gt;0,1,0),0),IFERROR(IF(SEARCH(A4,物品!$H$20)&gt;0,1,0),0),IFERROR(IF(SEARCH(A4,物品!$H$21)&gt;0,1,0),0),IFERROR(IF(SEARCH(A4,物品!$H$22)&gt;0,1,0),0),IFERROR(IF(SEARCH(A4,物品!$H$23)&gt;0,1,0),0),IFERROR(IF(SEARCH(A4,物品!$H$24)&gt;0,1,0),0),IFERROR(IF(SEARCH(A4,物品!$H$25)&gt;0,1,0),0),IFERROR(IF(SEARCH(A4,物品!$H$26)&gt;0,1,0),0),IFERROR(IF(SEARCH(A4,物品!$H$27)&gt;0,1,0),0),IFERROR(IF(SEARCH(A4,物品!$H$28)&gt;0,1,0),0),IFERROR(IF(SEARCH(A4,物品!$H$29)&gt;0,1,0),0),IFERROR(IF(SEARCH(A4,物品!$H$30)&gt;0,1,0),0),IFERROR(IF(SEARCH(A4,物品!$H$31)&gt;0,1,0),0),IFERROR(IF(SEARCH(A4,物品!$H$32)&gt;0,1,0),0),IFERROR(IF(SEARCH(A4,物品!$H$33)&gt;0,1,0),0),IFERROR(IF(SEARCH(A4,物品!$H$34)&gt;0,1,0),0),IFERROR(IF(SEARCH(A4,物品!$H$35)&gt;0,1,0),0),IFERROR(IF(SEARCH(A4,物品!$H$36)&gt;0,1,0),0),IFERROR(IF(SEARCH(A4,物品!$H$37)&gt;0,1,0),0),IFERROR(IF(SEARCH(A4,物品!$H$38)&gt;0,1,0),0),IFERROR(IF(SEARCH(A4,物品!$H$39)&gt;0,1,0),0),IFERROR(IF(SEARCH(A4,物品!$H$40)&gt;0,1,0),0),IFERROR(IF(SEARCH(A4,物品!$H$41)&gt;0,1,0),0),IFERROR(IF(SEARCH(A4,物品!$H$42)&gt;0,1,0),0),IFERROR(IF(SEARCH(A4,物品!$H$43)&gt;0,1,0),0),IFERROR(IF(SEARCH(A4,物品!$H$44)&gt;0,1,0),0),IFERROR(IF(SEARCH(A4,物品!$H$45)&gt;0,1,0),0),IFERROR(IF(SEARCH(A4,物品!$H$46)&gt;0,1,0),0),IFERROR(IF(SEARCH(A4,物品!$H$47)&gt;0,1,0),0),IFERROR(IF(SEARCH(A4,物品!$H$48)&gt;0,1,0),0),IFERROR(IF(SEARCH(A4,物品!$H$49)&gt;0,1,0),0),IFERROR(IF(SEARCH(A4,物品!$H$50)&gt;0,1,0),0),IFERROR(IF(SEARCH(A4,物品!$H$51)&gt;0,1,0),0),IFERROR(IF(SEARCH(A4,物品!$H$52)&gt;0,1,0),0),IFERROR(IF(SEARCH(A4,物品!$H$53)&gt;0,1,0),0),IFERROR(IF(SEARCH(A4,物品!$H$54)&gt;0,1,0),0),IFERROR(IF(SEARCH(A4,物品!$H$55)&gt;0,1,0),0),IFERROR(IF(SEARCH(A4,物品!$H$56)&gt;0,1,0),0),IFERROR(IF(SEARCH(A4,物品!$H$57)&gt;0,1,0),0),IFERROR(IF(SEARCH(A4,物品!$H$58)&gt;0,1,0),0),IFERROR(IF(SEARCH(A4,物品!$H$59)&gt;0,1,0),0),IFERROR(IF(SEARCH(A4,物品!$H$60)&gt;0,1,0),0),IFERROR(IF(SEARCH(A4,物品!$H$61)&gt;0,1,0),0),IFERROR(IF(SEARCH(A4,物品!$H$62)&gt;0,1,0),0),IFERROR(IF(SEARCH(A4,物品!$H$63)&gt;0,1,0),0),IFERROR(IF(SEARCH(A4,物品!$H$64)&gt;0,1,0),0),IFERROR(IF(SEARCH(A4,物品!$H$65)&gt;0,1,0),0),IFERROR(IF(SEARCH(A4,物品!$H$66)&gt;0,1,0),0),IFERROR(IF(SEARCH(A4,物品!$H$67)&gt;0,1,0),0),IFERROR(IF(SEARCH(A4,物品!$H$68)&gt;0,1,0),0),IFERROR(IF(SEARCH(A4,物品!$H$69)&gt;0,1,0),0),IFERROR(IF(SEARCH(A4,物品!$H$70)&gt;0,1,0),0),IFERROR(IF(SEARCH(A4,物品!$H$71)&gt;0,1,0),0),IFERROR(IF(SEARCH(A4,物品!$H$72)&gt;0,1,0),0),IFERROR(IF(SEARCH(A4,物品!$H$73)&gt;0,1,0),0),IFERROR(IF(SEARCH(A4,物品!$H$74)&gt;0,1,0),0),IFERROR(IF(SEARCH(A4,物品!$H$75)&gt;0,1,0),0),IFERROR(IF(SEARCH(A4,物品!$H$76)&gt;0,1,0),0),IFERROR(IF(SEARCH(A4,物品!$H$77)&gt;0,1,0),0),IFERROR(IF(SEARCH(A4,物品!$H$78)&gt;0,1,0),0),IFERROR(IF(SEARCH(A4,物品!$H$79)&gt;0,1,0),0),IFERROR(IF(SEARCH(A4,物品!$H$80)&gt;0,1,0),0),IFERROR(IF(SEARCH(A4,物品!$H$81)&gt;0,1,0),0),IFERROR(IF(SEARCH(A4,物品!$H$82)&gt;0,1,0),0),IFERROR(IF(SEARCH(A4,物品!$H$83)&gt;0,1,0),0),IFERROR(IF(SEARCH(A4,物品!$H$84)&gt;0,1,0),0),IFERROR(IF(SEARCH(A4,物品!$H$85)&gt;0,1,0),0),IFERROR(IF(SEARCH(A4,物品!$H$86)&gt;0,1,0),0),IFERROR(IF(SEARCH(A4,物品!$H$87)&gt;0,1,0),0),IFERROR(IF(SEARCH(A4,物品!$H$88)&gt;0,1,0),0),IFERROR(IF(SEARCH(A4,物品!$H$89)&gt;0,1,0),0),IFERROR(IF(SEARCH(A4,物品!$H$90)&gt;0,1,0),0),IFERROR(IF(SEARCH(A4,物品!$H$91)&gt;0,1,0),0),IFERROR(IF(SEARCH(A4,物品!$H$92)&gt;0,1,0),0),IFERROR(IF(SEARCH(A4,物品!$H$93)&gt;0,1,0),0),IFERROR(IF(SEARCH(A4,物品!$H$94)&gt;0,1,0),0),IFERROR(IF(SEARCH(A4,物品!$H$95)&gt;0,1,0),0),IFERROR(IF(SEARCH(A4,物品!$H$96)&gt;0,1,0),0),IFERROR(IF(SEARCH(A4,物品!$H$97)&gt;0,1,0),0),IFERROR(IF(SEARCH(A4,物品!$H$98)&gt;0,1,0),0),IFERROR(IF(SEARCH(A4,物品!$H$99)&gt;0,1,0),0),IFERROR(IF(SEARCH(A4,物品!$H$100)&gt;0,1,0),0),IFERROR(IF(SEARCH(A4,物品!$H$101)&gt;0,1,0),0),IFERROR(IF(SEARCH(A4,物品!$H$102)&gt;0,1,0),0),IFERROR(IF(SEARCH(A4,物品!$H$103)&gt;0,1,0),0))</x:f>
        <x:v>4</x:v>
      </x:c>
      <x:c r="J4" s="10" t="n">
        <x:f aca="0">SUMPRODUCT(--(建筑配方!$G$4:$L$118=A4))</x:f>
        <x:v>0</x:v>
      </x:c>
      <x:c r="K4" s="6" t="s">
        <x:v>114</x:v>
      </x:c>
    </x:row>
    <x:row r="5" ht="15" hidden="0">
      <x:c r="A5" s="6" t="s">
        <x:v>115</x:v>
      </x:c>
      <x:c r="B5" s="14" t="s">
        <x:v>116</x:v>
      </x:c>
      <x:c r="C5" s="13" t="s">
        <x:v>117</x:v>
      </x:c>
      <x:c r="D5" s="10" t="str">
        <x:f aca="0">IFERROR(INDEX(建筑配方!$C$4:$C$118,MATCH(A5,建筑配方!$M$4:$M$118,0)),"")</x:f>
        <x:v>营造厂</x:v>
      </x:c>
      <x:c r="E5" s="10" t="n">
        <x:f aca="0">SUMPRODUCT((建筑配方!$M$4:$M$118=A5)*((建筑配方!$G$4:$G$118&lt;&gt;"")+(建筑配方!$H$4:$H$118&lt;&gt;"")+(建筑配方!$I$4:$I$118&lt;&gt;"")+(建筑配方!$J$4:$J$118&lt;&gt;"")+(建筑配方!$K$4:$K$118&lt;&gt;"")+(建筑配方!$L$4:$L$118&lt;&gt;"")))</x:f>
        <x:v>6</x:v>
      </x:c>
      <x:c r="F5" s="10" t="n">
        <x:f aca="0">SUMPRODUCT((建筑配方!$C$4:$C$118=A5)*(建筑配方!$D$4:$D$118="使用")*((建筑配方!$G$4:$G$118&lt;&gt;"")+(建筑配方!$H$4:$H$118&lt;&gt;"")+(建筑配方!$I$4:$I$118&lt;&gt;"")+(建筑配方!$J$4:$J$118&lt;&gt;"")+(建筑配方!$K$4:$K$118&lt;&gt;"")+(建筑配方!$L$4:$L$118&lt;&gt;"")))</x:f>
        <x:v>3</x:v>
      </x:c>
      <x:c r="G5" s="10" t="n">
        <x:f aca="0">SUMPRODUCT((建筑配方!$C$4:$C$118=A5)*(建筑配方!$D$4:$D$118="使用")*(建筑配方!$N$4:$N$118&lt;&gt;""))</x:f>
        <x:v>1</x:v>
      </x:c>
      <x:c r="H5" s="10" t="n">
        <x:f aca="0">SUM(IF(建筑配方!$D$4="维护",IFERROR(IF(SEARCH(A5,建筑配方!$Q$4)&gt;0,1,0),0),0),IF(建筑配方!$D$5="维护",IFERROR(IF(SEARCH(A5,建筑配方!$Q$5)&gt;0,1,0),0),0),IF(建筑配方!$D$6="维护",IFERROR(IF(SEARCH(A5,建筑配方!$Q$6)&gt;0,1,0),0),0),IF(建筑配方!$D$7="维护",IFERROR(IF(SEARCH(A5,建筑配方!$Q$7)&gt;0,1,0),0),0),IF(建筑配方!$D$8="维护",IFERROR(IF(SEARCH(A5,建筑配方!$Q$8)&gt;0,1,0),0),0),IF(建筑配方!$D$9="维护",IFERROR(IF(SEARCH(A5,建筑配方!$Q$9)&gt;0,1,0),0),0),IF(建筑配方!$D$10="维护",IFERROR(IF(SEARCH(A5,建筑配方!$Q$10)&gt;0,1,0),0),0),IF(建筑配方!$D$11="维护",IFERROR(IF(SEARCH(A5,建筑配方!$Q$11)&gt;0,1,0),0),0),IF(建筑配方!$D$12="维护",IFERROR(IF(SEARCH(A5,建筑配方!$Q$12)&gt;0,1,0),0),0),IF(建筑配方!$D$13="维护",IFERROR(IF(SEARCH(A5,建筑配方!$Q$13)&gt;0,1,0),0),0),IF(建筑配方!$D$14="维护",IFERROR(IF(SEARCH(A5,建筑配方!$Q$14)&gt;0,1,0),0),0),IF(建筑配方!$D$15="维护",IFERROR(IF(SEARCH(A5,建筑配方!$Q$15)&gt;0,1,0),0),0),IF(建筑配方!$D$16="维护",IFERROR(IF(SEARCH(A5,建筑配方!$Q$16)&gt;0,1,0),0),0),IF(建筑配方!$D$17="维护",IFERROR(IF(SEARCH(A5,建筑配方!$Q$17)&gt;0,1,0),0),0),IF(建筑配方!$D$18="维护",IFERROR(IF(SEARCH(A5,建筑配方!$Q$18)&gt;0,1,0),0),0),IF(建筑配方!$D$19="维护",IFERROR(IF(SEARCH(A5,建筑配方!$Q$19)&gt;0,1,0),0),0),IF(建筑配方!$D$20="维护",IFERROR(IF(SEARCH(A5,建筑配方!$Q$20)&gt;0,1,0),0),0),IF(建筑配方!$D$21="维护",IFERROR(IF(SEARCH(A5,建筑配方!$Q$21)&gt;0,1,0),0),0),IF(建筑配方!$D$22="维护",IFERROR(IF(SEARCH(A5,建筑配方!$Q$22)&gt;0,1,0),0),0),IF(建筑配方!$D$23="维护",IFERROR(IF(SEARCH(A5,建筑配方!$Q$23)&gt;0,1,0),0),0),IF(建筑配方!$D$24="维护",IFERROR(IF(SEARCH(A5,建筑配方!$Q$24)&gt;0,1,0),0),0),IF(建筑配方!$D$25="维护",IFERROR(IF(SEARCH(A5,建筑配方!$Q$25)&gt;0,1,0),0),0),IF(建筑配方!$D$26="维护",IFERROR(IF(SEARCH(A5,建筑配方!$Q$26)&gt;0,1,0),0),0),IF(建筑配方!$D$27="维护",IFERROR(IF(SEARCH(A5,建筑配方!$Q$27)&gt;0,1,0),0),0),IF(建筑配方!$D$28="维护",IFERROR(IF(SEARCH(A5,建筑配方!$Q$28)&gt;0,1,0),0),0),IF(建筑配方!$D$29="维护",IFERROR(IF(SEARCH(A5,建筑配方!$Q$29)&gt;0,1,0),0),0),IF(建筑配方!$D$30="维护",IFERROR(IF(SEARCH(A5,建筑配方!$Q$30)&gt;0,1,0),0),0),IF(建筑配方!$D$31="维护",IFERROR(IF(SEARCH(A5,建筑配方!$Q$31)&gt;0,1,0),0),0),IF(建筑配方!$D$32="维护",IFERROR(IF(SEARCH(A5,建筑配方!$Q$32)&gt;0,1,0),0),0),IF(建筑配方!$D$33="维护",IFERROR(IF(SEARCH(A5,建筑配方!$Q$33)&gt;0,1,0),0),0),IF(建筑配方!$D$34="维护",IFERROR(IF(SEARCH(A5,建筑配方!$Q$34)&gt;0,1,0),0),0),IF(建筑配方!$D$35="维护",IFERROR(IF(SEARCH(A5,建筑配方!$Q$35)&gt;0,1,0),0),0),IF(建筑配方!$D$36="维护",IFERROR(IF(SEARCH(A5,建筑配方!$Q$36)&gt;0,1,0),0),0),IF(建筑配方!$D$37="维护",IFERROR(IF(SEARCH(A5,建筑配方!$Q$37)&gt;0,1,0),0),0),IF(建筑配方!$D$38="维护",IFERROR(IF(SEARCH(A5,建筑配方!$Q$38)&gt;0,1,0),0),0),IF(建筑配方!$D$39="维护",IFERROR(IF(SEARCH(A5,建筑配方!$Q$39)&gt;0,1,0),0),0),IF(建筑配方!$D$40="维护",IFERROR(IF(SEARCH(A5,建筑配方!$Q$40)&gt;0,1,0),0),0),IF(建筑配方!$D$41="维护",IFERROR(IF(SEARCH(A5,建筑配方!$Q$41)&gt;0,1,0),0),0),IF(建筑配方!$D$42="维护",IFERROR(IF(SEARCH(A5,建筑配方!$Q$42)&gt;0,1,0),0),0),IF(建筑配方!$D$43="维护",IFERROR(IF(SEARCH(A5,建筑配方!$Q$43)&gt;0,1,0),0),0),IF(建筑配方!$D$44="维护",IFERROR(IF(SEARCH(A5,建筑配方!$Q$44)&gt;0,1,0),0),0),IF(建筑配方!$D$45="维护",IFERROR(IF(SEARCH(A5,建筑配方!$Q$45)&gt;0,1,0),0),0),IF(建筑配方!$D$46="维护",IFERROR(IF(SEARCH(A5,建筑配方!$Q$46)&gt;0,1,0),0),0),IF(建筑配方!$D$47="维护",IFERROR(IF(SEARCH(A5,建筑配方!$Q$47)&gt;0,1,0),0),0),IF(建筑配方!$D$48="维护",IFERROR(IF(SEARCH(A5,建筑配方!$Q$48)&gt;0,1,0),0),0),IF(建筑配方!$D$49="维护",IFERROR(IF(SEARCH(A5,建筑配方!$Q$49)&gt;0,1,0),0),0),IF(建筑配方!$D$50="维护",IFERROR(IF(SEARCH(A5,建筑配方!$Q$50)&gt;0,1,0),0),0),IF(建筑配方!$D$51="维护",IFERROR(IF(SEARCH(A5,建筑配方!$Q$51)&gt;0,1,0),0),0),IF(建筑配方!$D$52="维护",IFERROR(IF(SEARCH(A5,建筑配方!$Q$52)&gt;0,1,0),0),0),IF(建筑配方!$D$53="维护",IFERROR(IF(SEARCH(A5,建筑配方!$Q$53)&gt;0,1,0),0),0),IF(建筑配方!$D$54="维护",IFERROR(IF(SEARCH(A5,建筑配方!$Q$54)&gt;0,1,0),0),0),IF(建筑配方!$D$55="维护",IFERROR(IF(SEARCH(A5,建筑配方!$Q$55)&gt;0,1,0),0),0),IF(建筑配方!$D$56="维护",IFERROR(IF(SEARCH(A5,建筑配方!$Q$56)&gt;0,1,0),0),0),IF(建筑配方!$D$57="维护",IFERROR(IF(SEARCH(A5,建筑配方!$Q$57)&gt;0,1,0),0),0),IF(建筑配方!$D$58="维护",IFERROR(IF(SEARCH(A5,建筑配方!$Q$58)&gt;0,1,0),0),0),IF(建筑配方!$D$59="维护",IFERROR(IF(SEARCH(A5,建筑配方!$Q$59)&gt;0,1,0),0),0),IF(建筑配方!$D$60="维护",IFERROR(IF(SEARCH(A5,建筑配方!$Q$60)&gt;0,1,0),0),0),IF(建筑配方!$D$61="维护",IFERROR(IF(SEARCH(A5,建筑配方!$Q$61)&gt;0,1,0),0),0),IF(建筑配方!$D$62="维护",IFERROR(IF(SEARCH(A5,建筑配方!$Q$62)&gt;0,1,0),0),0),IF(建筑配方!$D$63="维护",IFERROR(IF(SEARCH(A5,建筑配方!$Q$63)&gt;0,1,0),0),0),IF(建筑配方!$D$64="维护",IFERROR(IF(SEARCH(A5,建筑配方!$Q$64)&gt;0,1,0),0),0),IF(建筑配方!$D$65="维护",IFERROR(IF(SEARCH(A5,建筑配方!$Q$65)&gt;0,1,0),0),0),IF(建筑配方!$D$66="维护",IFERROR(IF(SEARCH(A5,建筑配方!$Q$66)&gt;0,1,0),0),0),IF(建筑配方!$D$67="维护",IFERROR(IF(SEARCH(A5,建筑配方!$Q$67)&gt;0,1,0),0),0),IF(建筑配方!$D$68="维护",IFERROR(IF(SEARCH(A5,建筑配方!$Q$68)&gt;0,1,0),0),0),IF(建筑配方!$D$69="维护",IFERROR(IF(SEARCH(A5,建筑配方!$Q$69)&gt;0,1,0),0),0),IF(建筑配方!$D$70="维护",IFERROR(IF(SEARCH(A5,建筑配方!$Q$70)&gt;0,1,0),0),0),IF(建筑配方!$D$71="维护",IFERROR(IF(SEARCH(A5,建筑配方!$Q$71)&gt;0,1,0),0),0),IF(建筑配方!$D$72="维护",IFERROR(IF(SEARCH(A5,建筑配方!$Q$72)&gt;0,1,0),0),0),IF(建筑配方!$D$73="维护",IFERROR(IF(SEARCH(A5,建筑配方!$Q$73)&gt;0,1,0),0),0),IF(建筑配方!$D$74="维护",IFERROR(IF(SEARCH(A5,建筑配方!$Q$74)&gt;0,1,0),0),0),IF(建筑配方!$D$75="维护",IFERROR(IF(SEARCH(A5,建筑配方!$Q$75)&gt;0,1,0),0),0),IF(建筑配方!$D$76="维护",IFERROR(IF(SEARCH(A5,建筑配方!$Q$76)&gt;0,1,0),0),0),IF(建筑配方!$D$77="维护",IFERROR(IF(SEARCH(A5,建筑配方!$Q$77)&gt;0,1,0),0),0),IF(建筑配方!$D$78="维护",IFERROR(IF(SEARCH(A5,建筑配方!$Q$78)&gt;0,1,0),0),0),IF(建筑配方!$D$79="维护",IFERROR(IF(SEARCH(A5,建筑配方!$Q$79)&gt;0,1,0),0),0),IF(建筑配方!$D$80="维护",IFERROR(IF(SEARCH(A5,建筑配方!$Q$80)&gt;0,1,0),0),0),IF(建筑配方!$D$81="维护",IFERROR(IF(SEARCH(A5,建筑配方!$Q$81)&gt;0,1,0),0),0),IF(建筑配方!$D$82="维护",IFERROR(IF(SEARCH(A5,建筑配方!$Q$82)&gt;0,1,0),0),0),IF(建筑配方!$D$83="维护",IFERROR(IF(SEARCH(A5,建筑配方!$Q$83)&gt;0,1,0),0),0),IF(建筑配方!$D$84="维护",IFERROR(IF(SEARCH(A5,建筑配方!$Q$84)&gt;0,1,0),0),0),IF(建筑配方!$D$85="维护",IFERROR(IF(SEARCH(A5,建筑配方!$Q$85)&gt;0,1,0),0),0),IF(建筑配方!$D$86="维护",IFERROR(IF(SEARCH(A5,建筑配方!$Q$86)&gt;0,1,0),0),0),IF(建筑配方!$D$87="维护",IFERROR(IF(SEARCH(A5,建筑配方!$Q$87)&gt;0,1,0),0),0),IF(建筑配方!$D$88="维护",IFERROR(IF(SEARCH(A5,建筑配方!$Q$88)&gt;0,1,0),0),0),IF(建筑配方!$D$89="维护",IFERROR(IF(SEARCH(A5,建筑配方!$Q$89)&gt;0,1,0),0),0),IF(建筑配方!$D$90="维护",IFERROR(IF(SEARCH(A5,建筑配方!$Q$90)&gt;0,1,0),0),0),IF(建筑配方!$D$91="维护",IFERROR(IF(SEARCH(A5,建筑配方!$Q$91)&gt;0,1,0),0),0),IF(建筑配方!$D$92="维护",IFERROR(IF(SEARCH(A5,建筑配方!$Q$92)&gt;0,1,0),0),0),IF(建筑配方!$D$93="维护",IFERROR(IF(SEARCH(A5,建筑配方!$Q$93)&gt;0,1,0),0),0),IF(建筑配方!$D$94="维护",IFERROR(IF(SEARCH(A5,建筑配方!$Q$94)&gt;0,1,0),0),0),IF(建筑配方!$D$95="维护",IFERROR(IF(SEARCH(A5,建筑配方!$Q$95)&gt;0,1,0),0),0),IF(建筑配方!$D$96="维护",IFERROR(IF(SEARCH(A5,建筑配方!$Q$96)&gt;0,1,0),0),0),IF(建筑配方!$D$97="维护",IFERROR(IF(SEARCH(A5,建筑配方!$Q$97)&gt;0,1,0),0),0),IF(建筑配方!$D$98="维护",IFERROR(IF(SEARCH(A5,建筑配方!$Q$98)&gt;0,1,0),0),0),IF(建筑配方!$D$99="维护",IFERROR(IF(SEARCH(A5,建筑配方!$Q$99)&gt;0,1,0),0),0),IF(建筑配方!$D$100="维护",IFERROR(IF(SEARCH(A5,建筑配方!$Q$100)&gt;0,1,0),0),0),IF(建筑配方!$D$101="维护",IFERROR(IF(SEARCH(A5,建筑配方!$Q$101)&gt;0,1,0),0),0),IF(建筑配方!$D$102="维护",IFERROR(IF(SEARCH(A5,建筑配方!$Q$102)&gt;0,1,0),0),0),IF(建筑配方!$D$103="维护",IFERROR(IF(SEARCH(A5,建筑配方!$Q$103)&gt;0,1,0),0),0),IF(建筑配方!$D$104="维护",IFERROR(IF(SEARCH(A5,建筑配方!$Q$104)&gt;0,1,0),0),0),IF(建筑配方!$D$105="维护",IFERROR(IF(SEARCH(A5,建筑配方!$Q$105)&gt;0,1,0),0),0),IF(建筑配方!$D$106="维护",IFERROR(IF(SEARCH(A5,建筑配方!$Q$106)&gt;0,1,0),0),0),IF(建筑配方!$D$107="维护",IFERROR(IF(SEARCH(A5,建筑配方!$Q$107)&gt;0,1,0),0),0),IF(建筑配方!$D$108="维护",IFERROR(IF(SEARCH(A5,建筑配方!$Q$108)&gt;0,1,0),0),0),IF(建筑配方!$D$109="维护",IFERROR(IF(SEARCH(A5,建筑配方!$Q$109)&gt;0,1,0),0),0),IF(建筑配方!$D$110="维护",IFERROR(IF(SEARCH(A5,建筑配方!$Q$110)&gt;0,1,0),0),0),IF(建筑配方!$D$111="维护",IFERROR(IF(SEARCH(A5,建筑配方!$Q$111)&gt;0,1,0),0),0),IF(建筑配方!$D$112="维护",IFERROR(IF(SEARCH(A5,建筑配方!$Q$112)&gt;0,1,0),0),0),IF(建筑配方!$D$113="维护",IFERROR(IF(SEARCH(A5,建筑配方!$Q$113)&gt;0,1,0),0),0),IF(建筑配方!$D$114="维护",IFERROR(IF(SEARCH(A5,建筑配方!$Q$114)&gt;0,1,0),0),0),IF(建筑配方!$D$115="维护",IFERROR(IF(SEARCH(A5,建筑配方!$Q$115)&gt;0,1,0),0),0),IF(建筑配方!$D$116="维护",IFERROR(IF(SEARCH(A5,建筑配方!$Q$116)&gt;0,1,0),0),0),IF(建筑配方!$D$117="维护",IFERROR(IF(SEARCH(A5,建筑配方!$Q$117)&gt;0,1,0),0),0),IF(建筑配方!$D$118="维护",IFERROR(IF(SEARCH(A5,建筑配方!$Q$118)&gt;0,1,0),0),0))</x:f>
        <x:v>1</x:v>
      </x:c>
      <x:c r="I5" s="10" t="n">
        <x:f aca="0">SUM(IFERROR(IF(SEARCH(A5,物品!$H$4)&gt;0,1,0),0),IFERROR(IF(SEARCH(A5,物品!$H$5)&gt;0,1,0),0),IFERROR(IF(SEARCH(A5,物品!$H$6)&gt;0,1,0),0),IFERROR(IF(SEARCH(A5,物品!$H$7)&gt;0,1,0),0),IFERROR(IF(SEARCH(A5,物品!$H$8)&gt;0,1,0),0),IFERROR(IF(SEARCH(A5,物品!$H$9)&gt;0,1,0),0),IFERROR(IF(SEARCH(A5,物品!$H$10)&gt;0,1,0),0),IFERROR(IF(SEARCH(A5,物品!$H$11)&gt;0,1,0),0),IFERROR(IF(SEARCH(A5,物品!$H$12)&gt;0,1,0),0),IFERROR(IF(SEARCH(A5,物品!$H$13)&gt;0,1,0),0),IFERROR(IF(SEARCH(A5,物品!$H$14)&gt;0,1,0),0),IFERROR(IF(SEARCH(A5,物品!$H$15)&gt;0,1,0),0),IFERROR(IF(SEARCH(A5,物品!$H$16)&gt;0,1,0),0),IFERROR(IF(SEARCH(A5,物品!$H$17)&gt;0,1,0),0),IFERROR(IF(SEARCH(A5,物品!$H$18)&gt;0,1,0),0),IFERROR(IF(SEARCH(A5,物品!$H$19)&gt;0,1,0),0),IFERROR(IF(SEARCH(A5,物品!$H$20)&gt;0,1,0),0),IFERROR(IF(SEARCH(A5,物品!$H$21)&gt;0,1,0),0),IFERROR(IF(SEARCH(A5,物品!$H$22)&gt;0,1,0),0),IFERROR(IF(SEARCH(A5,物品!$H$23)&gt;0,1,0),0),IFERROR(IF(SEARCH(A5,物品!$H$24)&gt;0,1,0),0),IFERROR(IF(SEARCH(A5,物品!$H$25)&gt;0,1,0),0),IFERROR(IF(SEARCH(A5,物品!$H$26)&gt;0,1,0),0),IFERROR(IF(SEARCH(A5,物品!$H$27)&gt;0,1,0),0),IFERROR(IF(SEARCH(A5,物品!$H$28)&gt;0,1,0),0),IFERROR(IF(SEARCH(A5,物品!$H$29)&gt;0,1,0),0),IFERROR(IF(SEARCH(A5,物品!$H$30)&gt;0,1,0),0),IFERROR(IF(SEARCH(A5,物品!$H$31)&gt;0,1,0),0),IFERROR(IF(SEARCH(A5,物品!$H$32)&gt;0,1,0),0),IFERROR(IF(SEARCH(A5,物品!$H$33)&gt;0,1,0),0),IFERROR(IF(SEARCH(A5,物品!$H$34)&gt;0,1,0),0),IFERROR(IF(SEARCH(A5,物品!$H$35)&gt;0,1,0),0),IFERROR(IF(SEARCH(A5,物品!$H$36)&gt;0,1,0),0),IFERROR(IF(SEARCH(A5,物品!$H$37)&gt;0,1,0),0),IFERROR(IF(SEARCH(A5,物品!$H$38)&gt;0,1,0),0),IFERROR(IF(SEARCH(A5,物品!$H$39)&gt;0,1,0),0),IFERROR(IF(SEARCH(A5,物品!$H$40)&gt;0,1,0),0),IFERROR(IF(SEARCH(A5,物品!$H$41)&gt;0,1,0),0),IFERROR(IF(SEARCH(A5,物品!$H$42)&gt;0,1,0),0),IFERROR(IF(SEARCH(A5,物品!$H$43)&gt;0,1,0),0),IFERROR(IF(SEARCH(A5,物品!$H$44)&gt;0,1,0),0),IFERROR(IF(SEARCH(A5,物品!$H$45)&gt;0,1,0),0),IFERROR(IF(SEARCH(A5,物品!$H$46)&gt;0,1,0),0),IFERROR(IF(SEARCH(A5,物品!$H$47)&gt;0,1,0),0),IFERROR(IF(SEARCH(A5,物品!$H$48)&gt;0,1,0),0),IFERROR(IF(SEARCH(A5,物品!$H$49)&gt;0,1,0),0),IFERROR(IF(SEARCH(A5,物品!$H$50)&gt;0,1,0),0),IFERROR(IF(SEARCH(A5,物品!$H$51)&gt;0,1,0),0),IFERROR(IF(SEARCH(A5,物品!$H$52)&gt;0,1,0),0),IFERROR(IF(SEARCH(A5,物品!$H$53)&gt;0,1,0),0),IFERROR(IF(SEARCH(A5,物品!$H$54)&gt;0,1,0),0),IFERROR(IF(SEARCH(A5,物品!$H$55)&gt;0,1,0),0),IFERROR(IF(SEARCH(A5,物品!$H$56)&gt;0,1,0),0),IFERROR(IF(SEARCH(A5,物品!$H$57)&gt;0,1,0),0),IFERROR(IF(SEARCH(A5,物品!$H$58)&gt;0,1,0),0),IFERROR(IF(SEARCH(A5,物品!$H$59)&gt;0,1,0),0),IFERROR(IF(SEARCH(A5,物品!$H$60)&gt;0,1,0),0),IFERROR(IF(SEARCH(A5,物品!$H$61)&gt;0,1,0),0),IFERROR(IF(SEARCH(A5,物品!$H$62)&gt;0,1,0),0),IFERROR(IF(SEARCH(A5,物品!$H$63)&gt;0,1,0),0),IFERROR(IF(SEARCH(A5,物品!$H$64)&gt;0,1,0),0),IFERROR(IF(SEARCH(A5,物品!$H$65)&gt;0,1,0),0),IFERROR(IF(SEARCH(A5,物品!$H$66)&gt;0,1,0),0),IFERROR(IF(SEARCH(A5,物品!$H$67)&gt;0,1,0),0),IFERROR(IF(SEARCH(A5,物品!$H$68)&gt;0,1,0),0),IFERROR(IF(SEARCH(A5,物品!$H$69)&gt;0,1,0),0),IFERROR(IF(SEARCH(A5,物品!$H$70)&gt;0,1,0),0),IFERROR(IF(SEARCH(A5,物品!$H$71)&gt;0,1,0),0),IFERROR(IF(SEARCH(A5,物品!$H$72)&gt;0,1,0),0),IFERROR(IF(SEARCH(A5,物品!$H$73)&gt;0,1,0),0),IFERROR(IF(SEARCH(A5,物品!$H$74)&gt;0,1,0),0),IFERROR(IF(SEARCH(A5,物品!$H$75)&gt;0,1,0),0),IFERROR(IF(SEARCH(A5,物品!$H$76)&gt;0,1,0),0),IFERROR(IF(SEARCH(A5,物品!$H$77)&gt;0,1,0),0),IFERROR(IF(SEARCH(A5,物品!$H$78)&gt;0,1,0),0),IFERROR(IF(SEARCH(A5,物品!$H$79)&gt;0,1,0),0),IFERROR(IF(SEARCH(A5,物品!$H$80)&gt;0,1,0),0),IFERROR(IF(SEARCH(A5,物品!$H$81)&gt;0,1,0),0),IFERROR(IF(SEARCH(A5,物品!$H$82)&gt;0,1,0),0),IFERROR(IF(SEARCH(A5,物品!$H$83)&gt;0,1,0),0),IFERROR(IF(SEARCH(A5,物品!$H$84)&gt;0,1,0),0),IFERROR(IF(SEARCH(A5,物品!$H$85)&gt;0,1,0),0),IFERROR(IF(SEARCH(A5,物品!$H$86)&gt;0,1,0),0),IFERROR(IF(SEARCH(A5,物品!$H$87)&gt;0,1,0),0),IFERROR(IF(SEARCH(A5,物品!$H$88)&gt;0,1,0),0),IFERROR(IF(SEARCH(A5,物品!$H$89)&gt;0,1,0),0),IFERROR(IF(SEARCH(A5,物品!$H$90)&gt;0,1,0),0),IFERROR(IF(SEARCH(A5,物品!$H$91)&gt;0,1,0),0),IFERROR(IF(SEARCH(A5,物品!$H$92)&gt;0,1,0),0),IFERROR(IF(SEARCH(A5,物品!$H$93)&gt;0,1,0),0),IFERROR(IF(SEARCH(A5,物品!$H$94)&gt;0,1,0),0),IFERROR(IF(SEARCH(A5,物品!$H$95)&gt;0,1,0),0),IFERROR(IF(SEARCH(A5,物品!$H$96)&gt;0,1,0),0),IFERROR(IF(SEARCH(A5,物品!$H$97)&gt;0,1,0),0),IFERROR(IF(SEARCH(A5,物品!$H$98)&gt;0,1,0),0),IFERROR(IF(SEARCH(A5,物品!$H$99)&gt;0,1,0),0),IFERROR(IF(SEARCH(A5,物品!$H$100)&gt;0,1,0),0),IFERROR(IF(SEARCH(A5,物品!$H$101)&gt;0,1,0),0),IFERROR(IF(SEARCH(A5,物品!$H$102)&gt;0,1,0),0),IFERROR(IF(SEARCH(A5,物品!$H$103)&gt;0,1,0),0))</x:f>
        <x:v>7</x:v>
      </x:c>
      <x:c r="J5" s="10" t="n">
        <x:f aca="0">SUMPRODUCT(--(建筑配方!$G$4:$L$118=A5))</x:f>
        <x:v>1</x:v>
      </x:c>
      <x:c r="K5" s="6" t="s">
        <x:v>118</x:v>
      </x:c>
    </x:row>
    <x:row r="6" ht="29.850000381469727" hidden="0">
      <x:c r="A6" s="6" t="s">
        <x:v>119</x:v>
      </x:c>
      <x:c r="B6" s="15" t="s">
        <x:v>120</x:v>
      </x:c>
      <x:c r="C6" s="13" t="s">
        <x:v>117</x:v>
      </x:c>
      <x:c r="D6" s="10" t="str">
        <x:f aca="0">IFERROR(INDEX(建筑配方!$C$4:$C$118,MATCH(A6,建筑配方!$M$4:$M$118,0)),"")</x:f>
        <x:v>营造厂</x:v>
      </x:c>
      <x:c r="E6" s="10" t="n">
        <x:f aca="0">SUMPRODUCT((建筑配方!$M$4:$M$118=A6)*((建筑配方!$G$4:$G$118&lt;&gt;"")+(建筑配方!$H$4:$H$118&lt;&gt;"")+(建筑配方!$I$4:$I$118&lt;&gt;"")+(建筑配方!$J$4:$J$118&lt;&gt;"")+(建筑配方!$K$4:$K$118&lt;&gt;"")+(建筑配方!$L$4:$L$118&lt;&gt;"")))</x:f>
        <x:v>6</x:v>
      </x:c>
      <x:c r="F6" s="10" t="n">
        <x:f aca="0">SUMPRODUCT((建筑配方!$C$4:$C$118=A6)*(建筑配方!$D$4:$D$118="使用")*((建筑配方!$G$4:$G$118&lt;&gt;"")+(建筑配方!$H$4:$H$118&lt;&gt;"")+(建筑配方!$I$4:$I$118&lt;&gt;"")+(建筑配方!$J$4:$J$118&lt;&gt;"")+(建筑配方!$K$4:$K$118&lt;&gt;"")+(建筑配方!$L$4:$L$118&lt;&gt;"")))</x:f>
        <x:v>3</x:v>
      </x:c>
      <x:c r="G6" s="10" t="n">
        <x:f aca="0">SUMPRODUCT((建筑配方!$C$4:$C$118=A6)*(建筑配方!$D$4:$D$118="使用")*(建筑配方!$N$4:$N$118&lt;&gt;""))</x:f>
        <x:v>1</x:v>
      </x:c>
      <x:c r="H6" s="10" t="n">
        <x:f aca="0">SUM(IF(建筑配方!$D$4="维护",IFERROR(IF(SEARCH(A6,建筑配方!$Q$4)&gt;0,1,0),0),0),IF(建筑配方!$D$5="维护",IFERROR(IF(SEARCH(A6,建筑配方!$Q$5)&gt;0,1,0),0),0),IF(建筑配方!$D$6="维护",IFERROR(IF(SEARCH(A6,建筑配方!$Q$6)&gt;0,1,0),0),0),IF(建筑配方!$D$7="维护",IFERROR(IF(SEARCH(A6,建筑配方!$Q$7)&gt;0,1,0),0),0),IF(建筑配方!$D$8="维护",IFERROR(IF(SEARCH(A6,建筑配方!$Q$8)&gt;0,1,0),0),0),IF(建筑配方!$D$9="维护",IFERROR(IF(SEARCH(A6,建筑配方!$Q$9)&gt;0,1,0),0),0),IF(建筑配方!$D$10="维护",IFERROR(IF(SEARCH(A6,建筑配方!$Q$10)&gt;0,1,0),0),0),IF(建筑配方!$D$11="维护",IFERROR(IF(SEARCH(A6,建筑配方!$Q$11)&gt;0,1,0),0),0),IF(建筑配方!$D$12="维护",IFERROR(IF(SEARCH(A6,建筑配方!$Q$12)&gt;0,1,0),0),0),IF(建筑配方!$D$13="维护",IFERROR(IF(SEARCH(A6,建筑配方!$Q$13)&gt;0,1,0),0),0),IF(建筑配方!$D$14="维护",IFERROR(IF(SEARCH(A6,建筑配方!$Q$14)&gt;0,1,0),0),0),IF(建筑配方!$D$15="维护",IFERROR(IF(SEARCH(A6,建筑配方!$Q$15)&gt;0,1,0),0),0),IF(建筑配方!$D$16="维护",IFERROR(IF(SEARCH(A6,建筑配方!$Q$16)&gt;0,1,0),0),0),IF(建筑配方!$D$17="维护",IFERROR(IF(SEARCH(A6,建筑配方!$Q$17)&gt;0,1,0),0),0),IF(建筑配方!$D$18="维护",IFERROR(IF(SEARCH(A6,建筑配方!$Q$18)&gt;0,1,0),0),0),IF(建筑配方!$D$19="维护",IFERROR(IF(SEARCH(A6,建筑配方!$Q$19)&gt;0,1,0),0),0),IF(建筑配方!$D$20="维护",IFERROR(IF(SEARCH(A6,建筑配方!$Q$20)&gt;0,1,0),0),0),IF(建筑配方!$D$21="维护",IFERROR(IF(SEARCH(A6,建筑配方!$Q$21)&gt;0,1,0),0),0),IF(建筑配方!$D$22="维护",IFERROR(IF(SEARCH(A6,建筑配方!$Q$22)&gt;0,1,0),0),0),IF(建筑配方!$D$23="维护",IFERROR(IF(SEARCH(A6,建筑配方!$Q$23)&gt;0,1,0),0),0),IF(建筑配方!$D$24="维护",IFERROR(IF(SEARCH(A6,建筑配方!$Q$24)&gt;0,1,0),0),0),IF(建筑配方!$D$25="维护",IFERROR(IF(SEARCH(A6,建筑配方!$Q$25)&gt;0,1,0),0),0),IF(建筑配方!$D$26="维护",IFERROR(IF(SEARCH(A6,建筑配方!$Q$26)&gt;0,1,0),0),0),IF(建筑配方!$D$27="维护",IFERROR(IF(SEARCH(A6,建筑配方!$Q$27)&gt;0,1,0),0),0),IF(建筑配方!$D$28="维护",IFERROR(IF(SEARCH(A6,建筑配方!$Q$28)&gt;0,1,0),0),0),IF(建筑配方!$D$29="维护",IFERROR(IF(SEARCH(A6,建筑配方!$Q$29)&gt;0,1,0),0),0),IF(建筑配方!$D$30="维护",IFERROR(IF(SEARCH(A6,建筑配方!$Q$30)&gt;0,1,0),0),0),IF(建筑配方!$D$31="维护",IFERROR(IF(SEARCH(A6,建筑配方!$Q$31)&gt;0,1,0),0),0),IF(建筑配方!$D$32="维护",IFERROR(IF(SEARCH(A6,建筑配方!$Q$32)&gt;0,1,0),0),0),IF(建筑配方!$D$33="维护",IFERROR(IF(SEARCH(A6,建筑配方!$Q$33)&gt;0,1,0),0),0),IF(建筑配方!$D$34="维护",IFERROR(IF(SEARCH(A6,建筑配方!$Q$34)&gt;0,1,0),0),0),IF(建筑配方!$D$35="维护",IFERROR(IF(SEARCH(A6,建筑配方!$Q$35)&gt;0,1,0),0),0),IF(建筑配方!$D$36="维护",IFERROR(IF(SEARCH(A6,建筑配方!$Q$36)&gt;0,1,0),0),0),IF(建筑配方!$D$37="维护",IFERROR(IF(SEARCH(A6,建筑配方!$Q$37)&gt;0,1,0),0),0),IF(建筑配方!$D$38="维护",IFERROR(IF(SEARCH(A6,建筑配方!$Q$38)&gt;0,1,0),0),0),IF(建筑配方!$D$39="维护",IFERROR(IF(SEARCH(A6,建筑配方!$Q$39)&gt;0,1,0),0),0),IF(建筑配方!$D$40="维护",IFERROR(IF(SEARCH(A6,建筑配方!$Q$40)&gt;0,1,0),0),0),IF(建筑配方!$D$41="维护",IFERROR(IF(SEARCH(A6,建筑配方!$Q$41)&gt;0,1,0),0),0),IF(建筑配方!$D$42="维护",IFERROR(IF(SEARCH(A6,建筑配方!$Q$42)&gt;0,1,0),0),0),IF(建筑配方!$D$43="维护",IFERROR(IF(SEARCH(A6,建筑配方!$Q$43)&gt;0,1,0),0),0),IF(建筑配方!$D$44="维护",IFERROR(IF(SEARCH(A6,建筑配方!$Q$44)&gt;0,1,0),0),0),IF(建筑配方!$D$45="维护",IFERROR(IF(SEARCH(A6,建筑配方!$Q$45)&gt;0,1,0),0),0),IF(建筑配方!$D$46="维护",IFERROR(IF(SEARCH(A6,建筑配方!$Q$46)&gt;0,1,0),0),0),IF(建筑配方!$D$47="维护",IFERROR(IF(SEARCH(A6,建筑配方!$Q$47)&gt;0,1,0),0),0),IF(建筑配方!$D$48="维护",IFERROR(IF(SEARCH(A6,建筑配方!$Q$48)&gt;0,1,0),0),0),IF(建筑配方!$D$49="维护",IFERROR(IF(SEARCH(A6,建筑配方!$Q$49)&gt;0,1,0),0),0),IF(建筑配方!$D$50="维护",IFERROR(IF(SEARCH(A6,建筑配方!$Q$50)&gt;0,1,0),0),0),IF(建筑配方!$D$51="维护",IFERROR(IF(SEARCH(A6,建筑配方!$Q$51)&gt;0,1,0),0),0),IF(建筑配方!$D$52="维护",IFERROR(IF(SEARCH(A6,建筑配方!$Q$52)&gt;0,1,0),0),0),IF(建筑配方!$D$53="维护",IFERROR(IF(SEARCH(A6,建筑配方!$Q$53)&gt;0,1,0),0),0),IF(建筑配方!$D$54="维护",IFERROR(IF(SEARCH(A6,建筑配方!$Q$54)&gt;0,1,0),0),0),IF(建筑配方!$D$55="维护",IFERROR(IF(SEARCH(A6,建筑配方!$Q$55)&gt;0,1,0),0),0),IF(建筑配方!$D$56="维护",IFERROR(IF(SEARCH(A6,建筑配方!$Q$56)&gt;0,1,0),0),0),IF(建筑配方!$D$57="维护",IFERROR(IF(SEARCH(A6,建筑配方!$Q$57)&gt;0,1,0),0),0),IF(建筑配方!$D$58="维护",IFERROR(IF(SEARCH(A6,建筑配方!$Q$58)&gt;0,1,0),0),0),IF(建筑配方!$D$59="维护",IFERROR(IF(SEARCH(A6,建筑配方!$Q$59)&gt;0,1,0),0),0),IF(建筑配方!$D$60="维护",IFERROR(IF(SEARCH(A6,建筑配方!$Q$60)&gt;0,1,0),0),0),IF(建筑配方!$D$61="维护",IFERROR(IF(SEARCH(A6,建筑配方!$Q$61)&gt;0,1,0),0),0),IF(建筑配方!$D$62="维护",IFERROR(IF(SEARCH(A6,建筑配方!$Q$62)&gt;0,1,0),0),0),IF(建筑配方!$D$63="维护",IFERROR(IF(SEARCH(A6,建筑配方!$Q$63)&gt;0,1,0),0),0),IF(建筑配方!$D$64="维护",IFERROR(IF(SEARCH(A6,建筑配方!$Q$64)&gt;0,1,0),0),0),IF(建筑配方!$D$65="维护",IFERROR(IF(SEARCH(A6,建筑配方!$Q$65)&gt;0,1,0),0),0),IF(建筑配方!$D$66="维护",IFERROR(IF(SEARCH(A6,建筑配方!$Q$66)&gt;0,1,0),0),0),IF(建筑配方!$D$67="维护",IFERROR(IF(SEARCH(A6,建筑配方!$Q$67)&gt;0,1,0),0),0),IF(建筑配方!$D$68="维护",IFERROR(IF(SEARCH(A6,建筑配方!$Q$68)&gt;0,1,0),0),0),IF(建筑配方!$D$69="维护",IFERROR(IF(SEARCH(A6,建筑配方!$Q$69)&gt;0,1,0),0),0),IF(建筑配方!$D$70="维护",IFERROR(IF(SEARCH(A6,建筑配方!$Q$70)&gt;0,1,0),0),0),IF(建筑配方!$D$71="维护",IFERROR(IF(SEARCH(A6,建筑配方!$Q$71)&gt;0,1,0),0),0),IF(建筑配方!$D$72="维护",IFERROR(IF(SEARCH(A6,建筑配方!$Q$72)&gt;0,1,0),0),0),IF(建筑配方!$D$73="维护",IFERROR(IF(SEARCH(A6,建筑配方!$Q$73)&gt;0,1,0),0),0),IF(建筑配方!$D$74="维护",IFERROR(IF(SEARCH(A6,建筑配方!$Q$74)&gt;0,1,0),0),0),IF(建筑配方!$D$75="维护",IFERROR(IF(SEARCH(A6,建筑配方!$Q$75)&gt;0,1,0),0),0),IF(建筑配方!$D$76="维护",IFERROR(IF(SEARCH(A6,建筑配方!$Q$76)&gt;0,1,0),0),0),IF(建筑配方!$D$77="维护",IFERROR(IF(SEARCH(A6,建筑配方!$Q$77)&gt;0,1,0),0),0),IF(建筑配方!$D$78="维护",IFERROR(IF(SEARCH(A6,建筑配方!$Q$78)&gt;0,1,0),0),0),IF(建筑配方!$D$79="维护",IFERROR(IF(SEARCH(A6,建筑配方!$Q$79)&gt;0,1,0),0),0),IF(建筑配方!$D$80="维护",IFERROR(IF(SEARCH(A6,建筑配方!$Q$80)&gt;0,1,0),0),0),IF(建筑配方!$D$81="维护",IFERROR(IF(SEARCH(A6,建筑配方!$Q$81)&gt;0,1,0),0),0),IF(建筑配方!$D$82="维护",IFERROR(IF(SEARCH(A6,建筑配方!$Q$82)&gt;0,1,0),0),0),IF(建筑配方!$D$83="维护",IFERROR(IF(SEARCH(A6,建筑配方!$Q$83)&gt;0,1,0),0),0),IF(建筑配方!$D$84="维护",IFERROR(IF(SEARCH(A6,建筑配方!$Q$84)&gt;0,1,0),0),0),IF(建筑配方!$D$85="维护",IFERROR(IF(SEARCH(A6,建筑配方!$Q$85)&gt;0,1,0),0),0),IF(建筑配方!$D$86="维护",IFERROR(IF(SEARCH(A6,建筑配方!$Q$86)&gt;0,1,0),0),0),IF(建筑配方!$D$87="维护",IFERROR(IF(SEARCH(A6,建筑配方!$Q$87)&gt;0,1,0),0),0),IF(建筑配方!$D$88="维护",IFERROR(IF(SEARCH(A6,建筑配方!$Q$88)&gt;0,1,0),0),0),IF(建筑配方!$D$89="维护",IFERROR(IF(SEARCH(A6,建筑配方!$Q$89)&gt;0,1,0),0),0),IF(建筑配方!$D$90="维护",IFERROR(IF(SEARCH(A6,建筑配方!$Q$90)&gt;0,1,0),0),0),IF(建筑配方!$D$91="维护",IFERROR(IF(SEARCH(A6,建筑配方!$Q$91)&gt;0,1,0),0),0),IF(建筑配方!$D$92="维护",IFERROR(IF(SEARCH(A6,建筑配方!$Q$92)&gt;0,1,0),0),0),IF(建筑配方!$D$93="维护",IFERROR(IF(SEARCH(A6,建筑配方!$Q$93)&gt;0,1,0),0),0),IF(建筑配方!$D$94="维护",IFERROR(IF(SEARCH(A6,建筑配方!$Q$94)&gt;0,1,0),0),0),IF(建筑配方!$D$95="维护",IFERROR(IF(SEARCH(A6,建筑配方!$Q$95)&gt;0,1,0),0),0),IF(建筑配方!$D$96="维护",IFERROR(IF(SEARCH(A6,建筑配方!$Q$96)&gt;0,1,0),0),0),IF(建筑配方!$D$97="维护",IFERROR(IF(SEARCH(A6,建筑配方!$Q$97)&gt;0,1,0),0),0),IF(建筑配方!$D$98="维护",IFERROR(IF(SEARCH(A6,建筑配方!$Q$98)&gt;0,1,0),0),0),IF(建筑配方!$D$99="维护",IFERROR(IF(SEARCH(A6,建筑配方!$Q$99)&gt;0,1,0),0),0),IF(建筑配方!$D$100="维护",IFERROR(IF(SEARCH(A6,建筑配方!$Q$100)&gt;0,1,0),0),0),IF(建筑配方!$D$101="维护",IFERROR(IF(SEARCH(A6,建筑配方!$Q$101)&gt;0,1,0),0),0),IF(建筑配方!$D$102="维护",IFERROR(IF(SEARCH(A6,建筑配方!$Q$102)&gt;0,1,0),0),0),IF(建筑配方!$D$103="维护",IFERROR(IF(SEARCH(A6,建筑配方!$Q$103)&gt;0,1,0),0),0),IF(建筑配方!$D$104="维护",IFERROR(IF(SEARCH(A6,建筑配方!$Q$104)&gt;0,1,0),0),0),IF(建筑配方!$D$105="维护",IFERROR(IF(SEARCH(A6,建筑配方!$Q$105)&gt;0,1,0),0),0),IF(建筑配方!$D$106="维护",IFERROR(IF(SEARCH(A6,建筑配方!$Q$106)&gt;0,1,0),0),0),IF(建筑配方!$D$107="维护",IFERROR(IF(SEARCH(A6,建筑配方!$Q$107)&gt;0,1,0),0),0),IF(建筑配方!$D$108="维护",IFERROR(IF(SEARCH(A6,建筑配方!$Q$108)&gt;0,1,0),0),0),IF(建筑配方!$D$109="维护",IFERROR(IF(SEARCH(A6,建筑配方!$Q$109)&gt;0,1,0),0),0),IF(建筑配方!$D$110="维护",IFERROR(IF(SEARCH(A6,建筑配方!$Q$110)&gt;0,1,0),0),0),IF(建筑配方!$D$111="维护",IFERROR(IF(SEARCH(A6,建筑配方!$Q$111)&gt;0,1,0),0),0),IF(建筑配方!$D$112="维护",IFERROR(IF(SEARCH(A6,建筑配方!$Q$112)&gt;0,1,0),0),0),IF(建筑配方!$D$113="维护",IFERROR(IF(SEARCH(A6,建筑配方!$Q$113)&gt;0,1,0),0),0),IF(建筑配方!$D$114="维护",IFERROR(IF(SEARCH(A6,建筑配方!$Q$114)&gt;0,1,0),0),0),IF(建筑配方!$D$115="维护",IFERROR(IF(SEARCH(A6,建筑配方!$Q$115)&gt;0,1,0),0),0),IF(建筑配方!$D$116="维护",IFERROR(IF(SEARCH(A6,建筑配方!$Q$116)&gt;0,1,0),0),0),IF(建筑配方!$D$117="维护",IFERROR(IF(SEARCH(A6,建筑配方!$Q$117)&gt;0,1,0),0),0),IF(建筑配方!$D$118="维护",IFERROR(IF(SEARCH(A6,建筑配方!$Q$118)&gt;0,1,0),0),0))</x:f>
        <x:v>1</x:v>
      </x:c>
      <x:c r="I6" s="10" t="n">
        <x:f aca="0">SUM(IFERROR(IF(SEARCH(A6,物品!$H$4)&gt;0,1,0),0),IFERROR(IF(SEARCH(A6,物品!$H$5)&gt;0,1,0),0),IFERROR(IF(SEARCH(A6,物品!$H$6)&gt;0,1,0),0),IFERROR(IF(SEARCH(A6,物品!$H$7)&gt;0,1,0),0),IFERROR(IF(SEARCH(A6,物品!$H$8)&gt;0,1,0),0),IFERROR(IF(SEARCH(A6,物品!$H$9)&gt;0,1,0),0),IFERROR(IF(SEARCH(A6,物品!$H$10)&gt;0,1,0),0),IFERROR(IF(SEARCH(A6,物品!$H$11)&gt;0,1,0),0),IFERROR(IF(SEARCH(A6,物品!$H$12)&gt;0,1,0),0),IFERROR(IF(SEARCH(A6,物品!$H$13)&gt;0,1,0),0),IFERROR(IF(SEARCH(A6,物品!$H$14)&gt;0,1,0),0),IFERROR(IF(SEARCH(A6,物品!$H$15)&gt;0,1,0),0),IFERROR(IF(SEARCH(A6,物品!$H$16)&gt;0,1,0),0),IFERROR(IF(SEARCH(A6,物品!$H$17)&gt;0,1,0),0),IFERROR(IF(SEARCH(A6,物品!$H$18)&gt;0,1,0),0),IFERROR(IF(SEARCH(A6,物品!$H$19)&gt;0,1,0),0),IFERROR(IF(SEARCH(A6,物品!$H$20)&gt;0,1,0),0),IFERROR(IF(SEARCH(A6,物品!$H$21)&gt;0,1,0),0),IFERROR(IF(SEARCH(A6,物品!$H$22)&gt;0,1,0),0),IFERROR(IF(SEARCH(A6,物品!$H$23)&gt;0,1,0),0),IFERROR(IF(SEARCH(A6,物品!$H$24)&gt;0,1,0),0),IFERROR(IF(SEARCH(A6,物品!$H$25)&gt;0,1,0),0),IFERROR(IF(SEARCH(A6,物品!$H$26)&gt;0,1,0),0),IFERROR(IF(SEARCH(A6,物品!$H$27)&gt;0,1,0),0),IFERROR(IF(SEARCH(A6,物品!$H$28)&gt;0,1,0),0),IFERROR(IF(SEARCH(A6,物品!$H$29)&gt;0,1,0),0),IFERROR(IF(SEARCH(A6,物品!$H$30)&gt;0,1,0),0),IFERROR(IF(SEARCH(A6,物品!$H$31)&gt;0,1,0),0),IFERROR(IF(SEARCH(A6,物品!$H$32)&gt;0,1,0),0),IFERROR(IF(SEARCH(A6,物品!$H$33)&gt;0,1,0),0),IFERROR(IF(SEARCH(A6,物品!$H$34)&gt;0,1,0),0),IFERROR(IF(SEARCH(A6,物品!$H$35)&gt;0,1,0),0),IFERROR(IF(SEARCH(A6,物品!$H$36)&gt;0,1,0),0),IFERROR(IF(SEARCH(A6,物品!$H$37)&gt;0,1,0),0),IFERROR(IF(SEARCH(A6,物品!$H$38)&gt;0,1,0),0),IFERROR(IF(SEARCH(A6,物品!$H$39)&gt;0,1,0),0),IFERROR(IF(SEARCH(A6,物品!$H$40)&gt;0,1,0),0),IFERROR(IF(SEARCH(A6,物品!$H$41)&gt;0,1,0),0),IFERROR(IF(SEARCH(A6,物品!$H$42)&gt;0,1,0),0),IFERROR(IF(SEARCH(A6,物品!$H$43)&gt;0,1,0),0),IFERROR(IF(SEARCH(A6,物品!$H$44)&gt;0,1,0),0),IFERROR(IF(SEARCH(A6,物品!$H$45)&gt;0,1,0),0),IFERROR(IF(SEARCH(A6,物品!$H$46)&gt;0,1,0),0),IFERROR(IF(SEARCH(A6,物品!$H$47)&gt;0,1,0),0),IFERROR(IF(SEARCH(A6,物品!$H$48)&gt;0,1,0),0),IFERROR(IF(SEARCH(A6,物品!$H$49)&gt;0,1,0),0),IFERROR(IF(SEARCH(A6,物品!$H$50)&gt;0,1,0),0),IFERROR(IF(SEARCH(A6,物品!$H$51)&gt;0,1,0),0),IFERROR(IF(SEARCH(A6,物品!$H$52)&gt;0,1,0),0),IFERROR(IF(SEARCH(A6,物品!$H$53)&gt;0,1,0),0),IFERROR(IF(SEARCH(A6,物品!$H$54)&gt;0,1,0),0),IFERROR(IF(SEARCH(A6,物品!$H$55)&gt;0,1,0),0),IFERROR(IF(SEARCH(A6,物品!$H$56)&gt;0,1,0),0),IFERROR(IF(SEARCH(A6,物品!$H$57)&gt;0,1,0),0),IFERROR(IF(SEARCH(A6,物品!$H$58)&gt;0,1,0),0),IFERROR(IF(SEARCH(A6,物品!$H$59)&gt;0,1,0),0),IFERROR(IF(SEARCH(A6,物品!$H$60)&gt;0,1,0),0),IFERROR(IF(SEARCH(A6,物品!$H$61)&gt;0,1,0),0),IFERROR(IF(SEARCH(A6,物品!$H$62)&gt;0,1,0),0),IFERROR(IF(SEARCH(A6,物品!$H$63)&gt;0,1,0),0),IFERROR(IF(SEARCH(A6,物品!$H$64)&gt;0,1,0),0),IFERROR(IF(SEARCH(A6,物品!$H$65)&gt;0,1,0),0),IFERROR(IF(SEARCH(A6,物品!$H$66)&gt;0,1,0),0),IFERROR(IF(SEARCH(A6,物品!$H$67)&gt;0,1,0),0),IFERROR(IF(SEARCH(A6,物品!$H$68)&gt;0,1,0),0),IFERROR(IF(SEARCH(A6,物品!$H$69)&gt;0,1,0),0),IFERROR(IF(SEARCH(A6,物品!$H$70)&gt;0,1,0),0),IFERROR(IF(SEARCH(A6,物品!$H$71)&gt;0,1,0),0),IFERROR(IF(SEARCH(A6,物品!$H$72)&gt;0,1,0),0),IFERROR(IF(SEARCH(A6,物品!$H$73)&gt;0,1,0),0),IFERROR(IF(SEARCH(A6,物品!$H$74)&gt;0,1,0),0),IFERROR(IF(SEARCH(A6,物品!$H$75)&gt;0,1,0),0),IFERROR(IF(SEARCH(A6,物品!$H$76)&gt;0,1,0),0),IFERROR(IF(SEARCH(A6,物品!$H$77)&gt;0,1,0),0),IFERROR(IF(SEARCH(A6,物品!$H$78)&gt;0,1,0),0),IFERROR(IF(SEARCH(A6,物品!$H$79)&gt;0,1,0),0),IFERROR(IF(SEARCH(A6,物品!$H$80)&gt;0,1,0),0),IFERROR(IF(SEARCH(A6,物品!$H$81)&gt;0,1,0),0),IFERROR(IF(SEARCH(A6,物品!$H$82)&gt;0,1,0),0),IFERROR(IF(SEARCH(A6,物品!$H$83)&gt;0,1,0),0),IFERROR(IF(SEARCH(A6,物品!$H$84)&gt;0,1,0),0),IFERROR(IF(SEARCH(A6,物品!$H$85)&gt;0,1,0),0),IFERROR(IF(SEARCH(A6,物品!$H$86)&gt;0,1,0),0),IFERROR(IF(SEARCH(A6,物品!$H$87)&gt;0,1,0),0),IFERROR(IF(SEARCH(A6,物品!$H$88)&gt;0,1,0),0),IFERROR(IF(SEARCH(A6,物品!$H$89)&gt;0,1,0),0),IFERROR(IF(SEARCH(A6,物品!$H$90)&gt;0,1,0),0),IFERROR(IF(SEARCH(A6,物品!$H$91)&gt;0,1,0),0),IFERROR(IF(SEARCH(A6,物品!$H$92)&gt;0,1,0),0),IFERROR(IF(SEARCH(A6,物品!$H$93)&gt;0,1,0),0),IFERROR(IF(SEARCH(A6,物品!$H$94)&gt;0,1,0),0),IFERROR(IF(SEARCH(A6,物品!$H$95)&gt;0,1,0),0),IFERROR(IF(SEARCH(A6,物品!$H$96)&gt;0,1,0),0),IFERROR(IF(SEARCH(A6,物品!$H$97)&gt;0,1,0),0),IFERROR(IF(SEARCH(A6,物品!$H$98)&gt;0,1,0),0),IFERROR(IF(SEARCH(A6,物品!$H$99)&gt;0,1,0),0),IFERROR(IF(SEARCH(A6,物品!$H$100)&gt;0,1,0),0),IFERROR(IF(SEARCH(A6,物品!$H$101)&gt;0,1,0),0),IFERROR(IF(SEARCH(A6,物品!$H$102)&gt;0,1,0),0),IFERROR(IF(SEARCH(A6,物品!$H$103)&gt;0,1,0),0))</x:f>
        <x:v>7</x:v>
      </x:c>
      <x:c r="J6" s="10" t="n">
        <x:f aca="0">SUMPRODUCT(--(建筑配方!$G$4:$L$118=A6))</x:f>
        <x:v>1</x:v>
      </x:c>
      <x:c r="K6" s="6" t="s">
        <x:v>121</x:v>
      </x:c>
    </x:row>
    <x:row r="7" ht="15" hidden="0">
      <x:c r="A7" s="6" t="s">
        <x:v>122</x:v>
      </x:c>
      <x:c r="B7" s="15" t="s">
        <x:v>120</x:v>
      </x:c>
      <x:c r="C7" s="13" t="s">
        <x:v>117</x:v>
      </x:c>
      <x:c r="D7" s="10" t="str">
        <x:f aca="0">IFERROR(INDEX(建筑配方!$C$4:$C$118,MATCH(A7,建筑配方!$M$4:$M$118,0)),"")</x:f>
        <x:v>汽车厂</x:v>
      </x:c>
      <x:c r="E7" s="10" t="n">
        <x:f aca="0">SUMPRODUCT((建筑配方!$M$4:$M$118=A7)*((建筑配方!$G$4:$G$118&lt;&gt;"")+(建筑配方!$H$4:$H$118&lt;&gt;"")+(建筑配方!$I$4:$I$118&lt;&gt;"")+(建筑配方!$J$4:$J$118&lt;&gt;"")+(建筑配方!$K$4:$K$118&lt;&gt;"")+(建筑配方!$L$4:$L$118&lt;&gt;"")))</x:f>
        <x:v>6</x:v>
      </x:c>
      <x:c r="F7" s="10" t="n">
        <x:f aca="0">SUMPRODUCT((建筑配方!$C$4:$C$118=A7)*(建筑配方!$D$4:$D$118="使用")*((建筑配方!$G$4:$G$118&lt;&gt;"")+(建筑配方!$H$4:$H$118&lt;&gt;"")+(建筑配方!$I$4:$I$118&lt;&gt;"")+(建筑配方!$J$4:$J$118&lt;&gt;"")+(建筑配方!$K$4:$K$118&lt;&gt;"")+(建筑配方!$L$4:$L$118&lt;&gt;"")))</x:f>
        <x:v>2</x:v>
      </x:c>
      <x:c r="G7" s="10" t="n">
        <x:f aca="0">SUMPRODUCT((建筑配方!$C$4:$C$118=A7)*(建筑配方!$D$4:$D$118="使用")*(建筑配方!$N$4:$N$118&lt;&gt;""))</x:f>
        <x:v>1</x:v>
      </x:c>
      <x:c r="H7" s="10" t="n">
        <x:f aca="0">SUM(IF(建筑配方!$D$4="维护",IFERROR(IF(SEARCH(A7,建筑配方!$Q$4)&gt;0,1,0),0),0),IF(建筑配方!$D$5="维护",IFERROR(IF(SEARCH(A7,建筑配方!$Q$5)&gt;0,1,0),0),0),IF(建筑配方!$D$6="维护",IFERROR(IF(SEARCH(A7,建筑配方!$Q$6)&gt;0,1,0),0),0),IF(建筑配方!$D$7="维护",IFERROR(IF(SEARCH(A7,建筑配方!$Q$7)&gt;0,1,0),0),0),IF(建筑配方!$D$8="维护",IFERROR(IF(SEARCH(A7,建筑配方!$Q$8)&gt;0,1,0),0),0),IF(建筑配方!$D$9="维护",IFERROR(IF(SEARCH(A7,建筑配方!$Q$9)&gt;0,1,0),0),0),IF(建筑配方!$D$10="维护",IFERROR(IF(SEARCH(A7,建筑配方!$Q$10)&gt;0,1,0),0),0),IF(建筑配方!$D$11="维护",IFERROR(IF(SEARCH(A7,建筑配方!$Q$11)&gt;0,1,0),0),0),IF(建筑配方!$D$12="维护",IFERROR(IF(SEARCH(A7,建筑配方!$Q$12)&gt;0,1,0),0),0),IF(建筑配方!$D$13="维护",IFERROR(IF(SEARCH(A7,建筑配方!$Q$13)&gt;0,1,0),0),0),IF(建筑配方!$D$14="维护",IFERROR(IF(SEARCH(A7,建筑配方!$Q$14)&gt;0,1,0),0),0),IF(建筑配方!$D$15="维护",IFERROR(IF(SEARCH(A7,建筑配方!$Q$15)&gt;0,1,0),0),0),IF(建筑配方!$D$16="维护",IFERROR(IF(SEARCH(A7,建筑配方!$Q$16)&gt;0,1,0),0),0),IF(建筑配方!$D$17="维护",IFERROR(IF(SEARCH(A7,建筑配方!$Q$17)&gt;0,1,0),0),0),IF(建筑配方!$D$18="维护",IFERROR(IF(SEARCH(A7,建筑配方!$Q$18)&gt;0,1,0),0),0),IF(建筑配方!$D$19="维护",IFERROR(IF(SEARCH(A7,建筑配方!$Q$19)&gt;0,1,0),0),0),IF(建筑配方!$D$20="维护",IFERROR(IF(SEARCH(A7,建筑配方!$Q$20)&gt;0,1,0),0),0),IF(建筑配方!$D$21="维护",IFERROR(IF(SEARCH(A7,建筑配方!$Q$21)&gt;0,1,0),0),0),IF(建筑配方!$D$22="维护",IFERROR(IF(SEARCH(A7,建筑配方!$Q$22)&gt;0,1,0),0),0),IF(建筑配方!$D$23="维护",IFERROR(IF(SEARCH(A7,建筑配方!$Q$23)&gt;0,1,0),0),0),IF(建筑配方!$D$24="维护",IFERROR(IF(SEARCH(A7,建筑配方!$Q$24)&gt;0,1,0),0),0),IF(建筑配方!$D$25="维护",IFERROR(IF(SEARCH(A7,建筑配方!$Q$25)&gt;0,1,0),0),0),IF(建筑配方!$D$26="维护",IFERROR(IF(SEARCH(A7,建筑配方!$Q$26)&gt;0,1,0),0),0),IF(建筑配方!$D$27="维护",IFERROR(IF(SEARCH(A7,建筑配方!$Q$27)&gt;0,1,0),0),0),IF(建筑配方!$D$28="维护",IFERROR(IF(SEARCH(A7,建筑配方!$Q$28)&gt;0,1,0),0),0),IF(建筑配方!$D$29="维护",IFERROR(IF(SEARCH(A7,建筑配方!$Q$29)&gt;0,1,0),0),0),IF(建筑配方!$D$30="维护",IFERROR(IF(SEARCH(A7,建筑配方!$Q$30)&gt;0,1,0),0),0),IF(建筑配方!$D$31="维护",IFERROR(IF(SEARCH(A7,建筑配方!$Q$31)&gt;0,1,0),0),0),IF(建筑配方!$D$32="维护",IFERROR(IF(SEARCH(A7,建筑配方!$Q$32)&gt;0,1,0),0),0),IF(建筑配方!$D$33="维护",IFERROR(IF(SEARCH(A7,建筑配方!$Q$33)&gt;0,1,0),0),0),IF(建筑配方!$D$34="维护",IFERROR(IF(SEARCH(A7,建筑配方!$Q$34)&gt;0,1,0),0),0),IF(建筑配方!$D$35="维护",IFERROR(IF(SEARCH(A7,建筑配方!$Q$35)&gt;0,1,0),0),0),IF(建筑配方!$D$36="维护",IFERROR(IF(SEARCH(A7,建筑配方!$Q$36)&gt;0,1,0),0),0),IF(建筑配方!$D$37="维护",IFERROR(IF(SEARCH(A7,建筑配方!$Q$37)&gt;0,1,0),0),0),IF(建筑配方!$D$38="维护",IFERROR(IF(SEARCH(A7,建筑配方!$Q$38)&gt;0,1,0),0),0),IF(建筑配方!$D$39="维护",IFERROR(IF(SEARCH(A7,建筑配方!$Q$39)&gt;0,1,0),0),0),IF(建筑配方!$D$40="维护",IFERROR(IF(SEARCH(A7,建筑配方!$Q$40)&gt;0,1,0),0),0),IF(建筑配方!$D$41="维护",IFERROR(IF(SEARCH(A7,建筑配方!$Q$41)&gt;0,1,0),0),0),IF(建筑配方!$D$42="维护",IFERROR(IF(SEARCH(A7,建筑配方!$Q$42)&gt;0,1,0),0),0),IF(建筑配方!$D$43="维护",IFERROR(IF(SEARCH(A7,建筑配方!$Q$43)&gt;0,1,0),0),0),IF(建筑配方!$D$44="维护",IFERROR(IF(SEARCH(A7,建筑配方!$Q$44)&gt;0,1,0),0),0),IF(建筑配方!$D$45="维护",IFERROR(IF(SEARCH(A7,建筑配方!$Q$45)&gt;0,1,0),0),0),IF(建筑配方!$D$46="维护",IFERROR(IF(SEARCH(A7,建筑配方!$Q$46)&gt;0,1,0),0),0),IF(建筑配方!$D$47="维护",IFERROR(IF(SEARCH(A7,建筑配方!$Q$47)&gt;0,1,0),0),0),IF(建筑配方!$D$48="维护",IFERROR(IF(SEARCH(A7,建筑配方!$Q$48)&gt;0,1,0),0),0),IF(建筑配方!$D$49="维护",IFERROR(IF(SEARCH(A7,建筑配方!$Q$49)&gt;0,1,0),0),0),IF(建筑配方!$D$50="维护",IFERROR(IF(SEARCH(A7,建筑配方!$Q$50)&gt;0,1,0),0),0),IF(建筑配方!$D$51="维护",IFERROR(IF(SEARCH(A7,建筑配方!$Q$51)&gt;0,1,0),0),0),IF(建筑配方!$D$52="维护",IFERROR(IF(SEARCH(A7,建筑配方!$Q$52)&gt;0,1,0),0),0),IF(建筑配方!$D$53="维护",IFERROR(IF(SEARCH(A7,建筑配方!$Q$53)&gt;0,1,0),0),0),IF(建筑配方!$D$54="维护",IFERROR(IF(SEARCH(A7,建筑配方!$Q$54)&gt;0,1,0),0),0),IF(建筑配方!$D$55="维护",IFERROR(IF(SEARCH(A7,建筑配方!$Q$55)&gt;0,1,0),0),0),IF(建筑配方!$D$56="维护",IFERROR(IF(SEARCH(A7,建筑配方!$Q$56)&gt;0,1,0),0),0),IF(建筑配方!$D$57="维护",IFERROR(IF(SEARCH(A7,建筑配方!$Q$57)&gt;0,1,0),0),0),IF(建筑配方!$D$58="维护",IFERROR(IF(SEARCH(A7,建筑配方!$Q$58)&gt;0,1,0),0),0),IF(建筑配方!$D$59="维护",IFERROR(IF(SEARCH(A7,建筑配方!$Q$59)&gt;0,1,0),0),0),IF(建筑配方!$D$60="维护",IFERROR(IF(SEARCH(A7,建筑配方!$Q$60)&gt;0,1,0),0),0),IF(建筑配方!$D$61="维护",IFERROR(IF(SEARCH(A7,建筑配方!$Q$61)&gt;0,1,0),0),0),IF(建筑配方!$D$62="维护",IFERROR(IF(SEARCH(A7,建筑配方!$Q$62)&gt;0,1,0),0),0),IF(建筑配方!$D$63="维护",IFERROR(IF(SEARCH(A7,建筑配方!$Q$63)&gt;0,1,0),0),0),IF(建筑配方!$D$64="维护",IFERROR(IF(SEARCH(A7,建筑配方!$Q$64)&gt;0,1,0),0),0),IF(建筑配方!$D$65="维护",IFERROR(IF(SEARCH(A7,建筑配方!$Q$65)&gt;0,1,0),0),0),IF(建筑配方!$D$66="维护",IFERROR(IF(SEARCH(A7,建筑配方!$Q$66)&gt;0,1,0),0),0),IF(建筑配方!$D$67="维护",IFERROR(IF(SEARCH(A7,建筑配方!$Q$67)&gt;0,1,0),0),0),IF(建筑配方!$D$68="维护",IFERROR(IF(SEARCH(A7,建筑配方!$Q$68)&gt;0,1,0),0),0),IF(建筑配方!$D$69="维护",IFERROR(IF(SEARCH(A7,建筑配方!$Q$69)&gt;0,1,0),0),0),IF(建筑配方!$D$70="维护",IFERROR(IF(SEARCH(A7,建筑配方!$Q$70)&gt;0,1,0),0),0),IF(建筑配方!$D$71="维护",IFERROR(IF(SEARCH(A7,建筑配方!$Q$71)&gt;0,1,0),0),0),IF(建筑配方!$D$72="维护",IFERROR(IF(SEARCH(A7,建筑配方!$Q$72)&gt;0,1,0),0),0),IF(建筑配方!$D$73="维护",IFERROR(IF(SEARCH(A7,建筑配方!$Q$73)&gt;0,1,0),0),0),IF(建筑配方!$D$74="维护",IFERROR(IF(SEARCH(A7,建筑配方!$Q$74)&gt;0,1,0),0),0),IF(建筑配方!$D$75="维护",IFERROR(IF(SEARCH(A7,建筑配方!$Q$75)&gt;0,1,0),0),0),IF(建筑配方!$D$76="维护",IFERROR(IF(SEARCH(A7,建筑配方!$Q$76)&gt;0,1,0),0),0),IF(建筑配方!$D$77="维护",IFERROR(IF(SEARCH(A7,建筑配方!$Q$77)&gt;0,1,0),0),0),IF(建筑配方!$D$78="维护",IFERROR(IF(SEARCH(A7,建筑配方!$Q$78)&gt;0,1,0),0),0),IF(建筑配方!$D$79="维护",IFERROR(IF(SEARCH(A7,建筑配方!$Q$79)&gt;0,1,0),0),0),IF(建筑配方!$D$80="维护",IFERROR(IF(SEARCH(A7,建筑配方!$Q$80)&gt;0,1,0),0),0),IF(建筑配方!$D$81="维护",IFERROR(IF(SEARCH(A7,建筑配方!$Q$81)&gt;0,1,0),0),0),IF(建筑配方!$D$82="维护",IFERROR(IF(SEARCH(A7,建筑配方!$Q$82)&gt;0,1,0),0),0),IF(建筑配方!$D$83="维护",IFERROR(IF(SEARCH(A7,建筑配方!$Q$83)&gt;0,1,0),0),0),IF(建筑配方!$D$84="维护",IFERROR(IF(SEARCH(A7,建筑配方!$Q$84)&gt;0,1,0),0),0),IF(建筑配方!$D$85="维护",IFERROR(IF(SEARCH(A7,建筑配方!$Q$85)&gt;0,1,0),0),0),IF(建筑配方!$D$86="维护",IFERROR(IF(SEARCH(A7,建筑配方!$Q$86)&gt;0,1,0),0),0),IF(建筑配方!$D$87="维护",IFERROR(IF(SEARCH(A7,建筑配方!$Q$87)&gt;0,1,0),0),0),IF(建筑配方!$D$88="维护",IFERROR(IF(SEARCH(A7,建筑配方!$Q$88)&gt;0,1,0),0),0),IF(建筑配方!$D$89="维护",IFERROR(IF(SEARCH(A7,建筑配方!$Q$89)&gt;0,1,0),0),0),IF(建筑配方!$D$90="维护",IFERROR(IF(SEARCH(A7,建筑配方!$Q$90)&gt;0,1,0),0),0),IF(建筑配方!$D$91="维护",IFERROR(IF(SEARCH(A7,建筑配方!$Q$91)&gt;0,1,0),0),0),IF(建筑配方!$D$92="维护",IFERROR(IF(SEARCH(A7,建筑配方!$Q$92)&gt;0,1,0),0),0),IF(建筑配方!$D$93="维护",IFERROR(IF(SEARCH(A7,建筑配方!$Q$93)&gt;0,1,0),0),0),IF(建筑配方!$D$94="维护",IFERROR(IF(SEARCH(A7,建筑配方!$Q$94)&gt;0,1,0),0),0),IF(建筑配方!$D$95="维护",IFERROR(IF(SEARCH(A7,建筑配方!$Q$95)&gt;0,1,0),0),0),IF(建筑配方!$D$96="维护",IFERROR(IF(SEARCH(A7,建筑配方!$Q$96)&gt;0,1,0),0),0),IF(建筑配方!$D$97="维护",IFERROR(IF(SEARCH(A7,建筑配方!$Q$97)&gt;0,1,0),0),0),IF(建筑配方!$D$98="维护",IFERROR(IF(SEARCH(A7,建筑配方!$Q$98)&gt;0,1,0),0),0),IF(建筑配方!$D$99="维护",IFERROR(IF(SEARCH(A7,建筑配方!$Q$99)&gt;0,1,0),0),0),IF(建筑配方!$D$100="维护",IFERROR(IF(SEARCH(A7,建筑配方!$Q$100)&gt;0,1,0),0),0),IF(建筑配方!$D$101="维护",IFERROR(IF(SEARCH(A7,建筑配方!$Q$101)&gt;0,1,0),0),0),IF(建筑配方!$D$102="维护",IFERROR(IF(SEARCH(A7,建筑配方!$Q$102)&gt;0,1,0),0),0),IF(建筑配方!$D$103="维护",IFERROR(IF(SEARCH(A7,建筑配方!$Q$103)&gt;0,1,0),0),0),IF(建筑配方!$D$104="维护",IFERROR(IF(SEARCH(A7,建筑配方!$Q$104)&gt;0,1,0),0),0),IF(建筑配方!$D$105="维护",IFERROR(IF(SEARCH(A7,建筑配方!$Q$105)&gt;0,1,0),0),0),IF(建筑配方!$D$106="维护",IFERROR(IF(SEARCH(A7,建筑配方!$Q$106)&gt;0,1,0),0),0),IF(建筑配方!$D$107="维护",IFERROR(IF(SEARCH(A7,建筑配方!$Q$107)&gt;0,1,0),0),0),IF(建筑配方!$D$108="维护",IFERROR(IF(SEARCH(A7,建筑配方!$Q$108)&gt;0,1,0),0),0),IF(建筑配方!$D$109="维护",IFERROR(IF(SEARCH(A7,建筑配方!$Q$109)&gt;0,1,0),0),0),IF(建筑配方!$D$110="维护",IFERROR(IF(SEARCH(A7,建筑配方!$Q$110)&gt;0,1,0),0),0),IF(建筑配方!$D$111="维护",IFERROR(IF(SEARCH(A7,建筑配方!$Q$111)&gt;0,1,0),0),0),IF(建筑配方!$D$112="维护",IFERROR(IF(SEARCH(A7,建筑配方!$Q$112)&gt;0,1,0),0),0),IF(建筑配方!$D$113="维护",IFERROR(IF(SEARCH(A7,建筑配方!$Q$113)&gt;0,1,0),0),0),IF(建筑配方!$D$114="维护",IFERROR(IF(SEARCH(A7,建筑配方!$Q$114)&gt;0,1,0),0),0),IF(建筑配方!$D$115="维护",IFERROR(IF(SEARCH(A7,建筑配方!$Q$115)&gt;0,1,0),0),0),IF(建筑配方!$D$116="维护",IFERROR(IF(SEARCH(A7,建筑配方!$Q$116)&gt;0,1,0),0),0),IF(建筑配方!$D$117="维护",IFERROR(IF(SEARCH(A7,建筑配方!$Q$117)&gt;0,1,0),0),0),IF(建筑配方!$D$118="维护",IFERROR(IF(SEARCH(A7,建筑配方!$Q$118)&gt;0,1,0),0),0))</x:f>
        <x:v>1</x:v>
      </x:c>
      <x:c r="I7" s="10" t="n">
        <x:f aca="0">SUM(IFERROR(IF(SEARCH(A7,物品!$H$4)&gt;0,1,0),0),IFERROR(IF(SEARCH(A7,物品!$H$5)&gt;0,1,0),0),IFERROR(IF(SEARCH(A7,物品!$H$6)&gt;0,1,0),0),IFERROR(IF(SEARCH(A7,物品!$H$7)&gt;0,1,0),0),IFERROR(IF(SEARCH(A7,物品!$H$8)&gt;0,1,0),0),IFERROR(IF(SEARCH(A7,物品!$H$9)&gt;0,1,0),0),IFERROR(IF(SEARCH(A7,物品!$H$10)&gt;0,1,0),0),IFERROR(IF(SEARCH(A7,物品!$H$11)&gt;0,1,0),0),IFERROR(IF(SEARCH(A7,物品!$H$12)&gt;0,1,0),0),IFERROR(IF(SEARCH(A7,物品!$H$13)&gt;0,1,0),0),IFERROR(IF(SEARCH(A7,物品!$H$14)&gt;0,1,0),0),IFERROR(IF(SEARCH(A7,物品!$H$15)&gt;0,1,0),0),IFERROR(IF(SEARCH(A7,物品!$H$16)&gt;0,1,0),0),IFERROR(IF(SEARCH(A7,物品!$H$17)&gt;0,1,0),0),IFERROR(IF(SEARCH(A7,物品!$H$18)&gt;0,1,0),0),IFERROR(IF(SEARCH(A7,物品!$H$19)&gt;0,1,0),0),IFERROR(IF(SEARCH(A7,物品!$H$20)&gt;0,1,0),0),IFERROR(IF(SEARCH(A7,物品!$H$21)&gt;0,1,0),0),IFERROR(IF(SEARCH(A7,物品!$H$22)&gt;0,1,0),0),IFERROR(IF(SEARCH(A7,物品!$H$23)&gt;0,1,0),0),IFERROR(IF(SEARCH(A7,物品!$H$24)&gt;0,1,0),0),IFERROR(IF(SEARCH(A7,物品!$H$25)&gt;0,1,0),0),IFERROR(IF(SEARCH(A7,物品!$H$26)&gt;0,1,0),0),IFERROR(IF(SEARCH(A7,物品!$H$27)&gt;0,1,0),0),IFERROR(IF(SEARCH(A7,物品!$H$28)&gt;0,1,0),0),IFERROR(IF(SEARCH(A7,物品!$H$29)&gt;0,1,0),0),IFERROR(IF(SEARCH(A7,物品!$H$30)&gt;0,1,0),0),IFERROR(IF(SEARCH(A7,物品!$H$31)&gt;0,1,0),0),IFERROR(IF(SEARCH(A7,物品!$H$32)&gt;0,1,0),0),IFERROR(IF(SEARCH(A7,物品!$H$33)&gt;0,1,0),0),IFERROR(IF(SEARCH(A7,物品!$H$34)&gt;0,1,0),0),IFERROR(IF(SEARCH(A7,物品!$H$35)&gt;0,1,0),0),IFERROR(IF(SEARCH(A7,物品!$H$36)&gt;0,1,0),0),IFERROR(IF(SEARCH(A7,物品!$H$37)&gt;0,1,0),0),IFERROR(IF(SEARCH(A7,物品!$H$38)&gt;0,1,0),0),IFERROR(IF(SEARCH(A7,物品!$H$39)&gt;0,1,0),0),IFERROR(IF(SEARCH(A7,物品!$H$40)&gt;0,1,0),0),IFERROR(IF(SEARCH(A7,物品!$H$41)&gt;0,1,0),0),IFERROR(IF(SEARCH(A7,物品!$H$42)&gt;0,1,0),0),IFERROR(IF(SEARCH(A7,物品!$H$43)&gt;0,1,0),0),IFERROR(IF(SEARCH(A7,物品!$H$44)&gt;0,1,0),0),IFERROR(IF(SEARCH(A7,物品!$H$45)&gt;0,1,0),0),IFERROR(IF(SEARCH(A7,物品!$H$46)&gt;0,1,0),0),IFERROR(IF(SEARCH(A7,物品!$H$47)&gt;0,1,0),0),IFERROR(IF(SEARCH(A7,物品!$H$48)&gt;0,1,0),0),IFERROR(IF(SEARCH(A7,物品!$H$49)&gt;0,1,0),0),IFERROR(IF(SEARCH(A7,物品!$H$50)&gt;0,1,0),0),IFERROR(IF(SEARCH(A7,物品!$H$51)&gt;0,1,0),0),IFERROR(IF(SEARCH(A7,物品!$H$52)&gt;0,1,0),0),IFERROR(IF(SEARCH(A7,物品!$H$53)&gt;0,1,0),0),IFERROR(IF(SEARCH(A7,物品!$H$54)&gt;0,1,0),0),IFERROR(IF(SEARCH(A7,物品!$H$55)&gt;0,1,0),0),IFERROR(IF(SEARCH(A7,物品!$H$56)&gt;0,1,0),0),IFERROR(IF(SEARCH(A7,物品!$H$57)&gt;0,1,0),0),IFERROR(IF(SEARCH(A7,物品!$H$58)&gt;0,1,0),0),IFERROR(IF(SEARCH(A7,物品!$H$59)&gt;0,1,0),0),IFERROR(IF(SEARCH(A7,物品!$H$60)&gt;0,1,0),0),IFERROR(IF(SEARCH(A7,物品!$H$61)&gt;0,1,0),0),IFERROR(IF(SEARCH(A7,物品!$H$62)&gt;0,1,0),0),IFERROR(IF(SEARCH(A7,物品!$H$63)&gt;0,1,0),0),IFERROR(IF(SEARCH(A7,物品!$H$64)&gt;0,1,0),0),IFERROR(IF(SEARCH(A7,物品!$H$65)&gt;0,1,0),0),IFERROR(IF(SEARCH(A7,物品!$H$66)&gt;0,1,0),0),IFERROR(IF(SEARCH(A7,物品!$H$67)&gt;0,1,0),0),IFERROR(IF(SEARCH(A7,物品!$H$68)&gt;0,1,0),0),IFERROR(IF(SEARCH(A7,物品!$H$69)&gt;0,1,0),0),IFERROR(IF(SEARCH(A7,物品!$H$70)&gt;0,1,0),0),IFERROR(IF(SEARCH(A7,物品!$H$71)&gt;0,1,0),0),IFERROR(IF(SEARCH(A7,物品!$H$72)&gt;0,1,0),0),IFERROR(IF(SEARCH(A7,物品!$H$73)&gt;0,1,0),0),IFERROR(IF(SEARCH(A7,物品!$H$74)&gt;0,1,0),0),IFERROR(IF(SEARCH(A7,物品!$H$75)&gt;0,1,0),0),IFERROR(IF(SEARCH(A7,物品!$H$76)&gt;0,1,0),0),IFERROR(IF(SEARCH(A7,物品!$H$77)&gt;0,1,0),0),IFERROR(IF(SEARCH(A7,物品!$H$78)&gt;0,1,0),0),IFERROR(IF(SEARCH(A7,物品!$H$79)&gt;0,1,0),0),IFERROR(IF(SEARCH(A7,物品!$H$80)&gt;0,1,0),0),IFERROR(IF(SEARCH(A7,物品!$H$81)&gt;0,1,0),0),IFERROR(IF(SEARCH(A7,物品!$H$82)&gt;0,1,0),0),IFERROR(IF(SEARCH(A7,物品!$H$83)&gt;0,1,0),0),IFERROR(IF(SEARCH(A7,物品!$H$84)&gt;0,1,0),0),IFERROR(IF(SEARCH(A7,物品!$H$85)&gt;0,1,0),0),IFERROR(IF(SEARCH(A7,物品!$H$86)&gt;0,1,0),0),IFERROR(IF(SEARCH(A7,物品!$H$87)&gt;0,1,0),0),IFERROR(IF(SEARCH(A7,物品!$H$88)&gt;0,1,0),0),IFERROR(IF(SEARCH(A7,物品!$H$89)&gt;0,1,0),0),IFERROR(IF(SEARCH(A7,物品!$H$90)&gt;0,1,0),0),IFERROR(IF(SEARCH(A7,物品!$H$91)&gt;0,1,0),0),IFERROR(IF(SEARCH(A7,物品!$H$92)&gt;0,1,0),0),IFERROR(IF(SEARCH(A7,物品!$H$93)&gt;0,1,0),0),IFERROR(IF(SEARCH(A7,物品!$H$94)&gt;0,1,0),0),IFERROR(IF(SEARCH(A7,物品!$H$95)&gt;0,1,0),0),IFERROR(IF(SEARCH(A7,物品!$H$96)&gt;0,1,0),0),IFERROR(IF(SEARCH(A7,物品!$H$97)&gt;0,1,0),0),IFERROR(IF(SEARCH(A7,物品!$H$98)&gt;0,1,0),0),IFERROR(IF(SEARCH(A7,物品!$H$99)&gt;0,1,0),0),IFERROR(IF(SEARCH(A7,物品!$H$100)&gt;0,1,0),0),IFERROR(IF(SEARCH(A7,物品!$H$101)&gt;0,1,0),0),IFERROR(IF(SEARCH(A7,物品!$H$102)&gt;0,1,0),0),IFERROR(IF(SEARCH(A7,物品!$H$103)&gt;0,1,0),0))</x:f>
        <x:v>6</x:v>
      </x:c>
      <x:c r="J7" s="10" t="n">
        <x:f aca="0">SUMPRODUCT(--(建筑配方!$G$4:$L$118=A7))</x:f>
        <x:v>1</x:v>
      </x:c>
      <x:c r="K7" s="6" t="s">
        <x:v>123</x:v>
      </x:c>
    </x:row>
    <x:row r="8" ht="15" hidden="0">
      <x:c r="A8" s="6" t="s">
        <x:v>124</x:v>
      </x:c>
      <x:c r="B8" s="15" t="s">
        <x:v>120</x:v>
      </x:c>
      <x:c r="C8" s="13" t="s">
        <x:v>117</x:v>
      </x:c>
      <x:c r="D8" s="10" t="str">
        <x:f aca="0">IFERROR(INDEX(建筑配方!$C$4:$C$118,MATCH(A8,建筑配方!$M$4:$M$118,0)),"")</x:f>
        <x:v>家电厂</x:v>
      </x:c>
      <x:c r="E8" s="10" t="n">
        <x:f aca="0">SUMPRODUCT((建筑配方!$M$4:$M$118=A8)*((建筑配方!$G$4:$G$118&lt;&gt;"")+(建筑配方!$H$4:$H$118&lt;&gt;"")+(建筑配方!$I$4:$I$118&lt;&gt;"")+(建筑配方!$J$4:$J$118&lt;&gt;"")+(建筑配方!$K$4:$K$118&lt;&gt;"")+(建筑配方!$L$4:$L$118&lt;&gt;"")))</x:f>
        <x:v>5</x:v>
      </x:c>
      <x:c r="F8" s="10" t="n">
        <x:f aca="0">SUMPRODUCT((建筑配方!$C$4:$C$118=A8)*(建筑配方!$D$4:$D$118="使用")*((建筑配方!$G$4:$G$118&lt;&gt;"")+(建筑配方!$H$4:$H$118&lt;&gt;"")+(建筑配方!$I$4:$I$118&lt;&gt;"")+(建筑配方!$J$4:$J$118&lt;&gt;"")+(建筑配方!$K$4:$K$118&lt;&gt;"")+(建筑配方!$L$4:$L$118&lt;&gt;"")))</x:f>
        <x:v>1</x:v>
      </x:c>
      <x:c r="G8" s="10" t="n">
        <x:f aca="0">SUMPRODUCT((建筑配方!$C$4:$C$118=A8)*(建筑配方!$D$4:$D$118="使用")*(建筑配方!$N$4:$N$118&lt;&gt;""))</x:f>
        <x:v>0</x:v>
      </x:c>
      <x:c r="H8" s="10" t="n">
        <x:f aca="0">SUM(IF(建筑配方!$D$4="维护",IFERROR(IF(SEARCH(A8,建筑配方!$Q$4)&gt;0,1,0),0),0),IF(建筑配方!$D$5="维护",IFERROR(IF(SEARCH(A8,建筑配方!$Q$5)&gt;0,1,0),0),0),IF(建筑配方!$D$6="维护",IFERROR(IF(SEARCH(A8,建筑配方!$Q$6)&gt;0,1,0),0),0),IF(建筑配方!$D$7="维护",IFERROR(IF(SEARCH(A8,建筑配方!$Q$7)&gt;0,1,0),0),0),IF(建筑配方!$D$8="维护",IFERROR(IF(SEARCH(A8,建筑配方!$Q$8)&gt;0,1,0),0),0),IF(建筑配方!$D$9="维护",IFERROR(IF(SEARCH(A8,建筑配方!$Q$9)&gt;0,1,0),0),0),IF(建筑配方!$D$10="维护",IFERROR(IF(SEARCH(A8,建筑配方!$Q$10)&gt;0,1,0),0),0),IF(建筑配方!$D$11="维护",IFERROR(IF(SEARCH(A8,建筑配方!$Q$11)&gt;0,1,0),0),0),IF(建筑配方!$D$12="维护",IFERROR(IF(SEARCH(A8,建筑配方!$Q$12)&gt;0,1,0),0),0),IF(建筑配方!$D$13="维护",IFERROR(IF(SEARCH(A8,建筑配方!$Q$13)&gt;0,1,0),0),0),IF(建筑配方!$D$14="维护",IFERROR(IF(SEARCH(A8,建筑配方!$Q$14)&gt;0,1,0),0),0),IF(建筑配方!$D$15="维护",IFERROR(IF(SEARCH(A8,建筑配方!$Q$15)&gt;0,1,0),0),0),IF(建筑配方!$D$16="维护",IFERROR(IF(SEARCH(A8,建筑配方!$Q$16)&gt;0,1,0),0),0),IF(建筑配方!$D$17="维护",IFERROR(IF(SEARCH(A8,建筑配方!$Q$17)&gt;0,1,0),0),0),IF(建筑配方!$D$18="维护",IFERROR(IF(SEARCH(A8,建筑配方!$Q$18)&gt;0,1,0),0),0),IF(建筑配方!$D$19="维护",IFERROR(IF(SEARCH(A8,建筑配方!$Q$19)&gt;0,1,0),0),0),IF(建筑配方!$D$20="维护",IFERROR(IF(SEARCH(A8,建筑配方!$Q$20)&gt;0,1,0),0),0),IF(建筑配方!$D$21="维护",IFERROR(IF(SEARCH(A8,建筑配方!$Q$21)&gt;0,1,0),0),0),IF(建筑配方!$D$22="维护",IFERROR(IF(SEARCH(A8,建筑配方!$Q$22)&gt;0,1,0),0),0),IF(建筑配方!$D$23="维护",IFERROR(IF(SEARCH(A8,建筑配方!$Q$23)&gt;0,1,0),0),0),IF(建筑配方!$D$24="维护",IFERROR(IF(SEARCH(A8,建筑配方!$Q$24)&gt;0,1,0),0),0),IF(建筑配方!$D$25="维护",IFERROR(IF(SEARCH(A8,建筑配方!$Q$25)&gt;0,1,0),0),0),IF(建筑配方!$D$26="维护",IFERROR(IF(SEARCH(A8,建筑配方!$Q$26)&gt;0,1,0),0),0),IF(建筑配方!$D$27="维护",IFERROR(IF(SEARCH(A8,建筑配方!$Q$27)&gt;0,1,0),0),0),IF(建筑配方!$D$28="维护",IFERROR(IF(SEARCH(A8,建筑配方!$Q$28)&gt;0,1,0),0),0),IF(建筑配方!$D$29="维护",IFERROR(IF(SEARCH(A8,建筑配方!$Q$29)&gt;0,1,0),0),0),IF(建筑配方!$D$30="维护",IFERROR(IF(SEARCH(A8,建筑配方!$Q$30)&gt;0,1,0),0),0),IF(建筑配方!$D$31="维护",IFERROR(IF(SEARCH(A8,建筑配方!$Q$31)&gt;0,1,0),0),0),IF(建筑配方!$D$32="维护",IFERROR(IF(SEARCH(A8,建筑配方!$Q$32)&gt;0,1,0),0),0),IF(建筑配方!$D$33="维护",IFERROR(IF(SEARCH(A8,建筑配方!$Q$33)&gt;0,1,0),0),0),IF(建筑配方!$D$34="维护",IFERROR(IF(SEARCH(A8,建筑配方!$Q$34)&gt;0,1,0),0),0),IF(建筑配方!$D$35="维护",IFERROR(IF(SEARCH(A8,建筑配方!$Q$35)&gt;0,1,0),0),0),IF(建筑配方!$D$36="维护",IFERROR(IF(SEARCH(A8,建筑配方!$Q$36)&gt;0,1,0),0),0),IF(建筑配方!$D$37="维护",IFERROR(IF(SEARCH(A8,建筑配方!$Q$37)&gt;0,1,0),0),0),IF(建筑配方!$D$38="维护",IFERROR(IF(SEARCH(A8,建筑配方!$Q$38)&gt;0,1,0),0),0),IF(建筑配方!$D$39="维护",IFERROR(IF(SEARCH(A8,建筑配方!$Q$39)&gt;0,1,0),0),0),IF(建筑配方!$D$40="维护",IFERROR(IF(SEARCH(A8,建筑配方!$Q$40)&gt;0,1,0),0),0),IF(建筑配方!$D$41="维护",IFERROR(IF(SEARCH(A8,建筑配方!$Q$41)&gt;0,1,0),0),0),IF(建筑配方!$D$42="维护",IFERROR(IF(SEARCH(A8,建筑配方!$Q$42)&gt;0,1,0),0),0),IF(建筑配方!$D$43="维护",IFERROR(IF(SEARCH(A8,建筑配方!$Q$43)&gt;0,1,0),0),0),IF(建筑配方!$D$44="维护",IFERROR(IF(SEARCH(A8,建筑配方!$Q$44)&gt;0,1,0),0),0),IF(建筑配方!$D$45="维护",IFERROR(IF(SEARCH(A8,建筑配方!$Q$45)&gt;0,1,0),0),0),IF(建筑配方!$D$46="维护",IFERROR(IF(SEARCH(A8,建筑配方!$Q$46)&gt;0,1,0),0),0),IF(建筑配方!$D$47="维护",IFERROR(IF(SEARCH(A8,建筑配方!$Q$47)&gt;0,1,0),0),0),IF(建筑配方!$D$48="维护",IFERROR(IF(SEARCH(A8,建筑配方!$Q$48)&gt;0,1,0),0),0),IF(建筑配方!$D$49="维护",IFERROR(IF(SEARCH(A8,建筑配方!$Q$49)&gt;0,1,0),0),0),IF(建筑配方!$D$50="维护",IFERROR(IF(SEARCH(A8,建筑配方!$Q$50)&gt;0,1,0),0),0),IF(建筑配方!$D$51="维护",IFERROR(IF(SEARCH(A8,建筑配方!$Q$51)&gt;0,1,0),0),0),IF(建筑配方!$D$52="维护",IFERROR(IF(SEARCH(A8,建筑配方!$Q$52)&gt;0,1,0),0),0),IF(建筑配方!$D$53="维护",IFERROR(IF(SEARCH(A8,建筑配方!$Q$53)&gt;0,1,0),0),0),IF(建筑配方!$D$54="维护",IFERROR(IF(SEARCH(A8,建筑配方!$Q$54)&gt;0,1,0),0),0),IF(建筑配方!$D$55="维护",IFERROR(IF(SEARCH(A8,建筑配方!$Q$55)&gt;0,1,0),0),0),IF(建筑配方!$D$56="维护",IFERROR(IF(SEARCH(A8,建筑配方!$Q$56)&gt;0,1,0),0),0),IF(建筑配方!$D$57="维护",IFERROR(IF(SEARCH(A8,建筑配方!$Q$57)&gt;0,1,0),0),0),IF(建筑配方!$D$58="维护",IFERROR(IF(SEARCH(A8,建筑配方!$Q$58)&gt;0,1,0),0),0),IF(建筑配方!$D$59="维护",IFERROR(IF(SEARCH(A8,建筑配方!$Q$59)&gt;0,1,0),0),0),IF(建筑配方!$D$60="维护",IFERROR(IF(SEARCH(A8,建筑配方!$Q$60)&gt;0,1,0),0),0),IF(建筑配方!$D$61="维护",IFERROR(IF(SEARCH(A8,建筑配方!$Q$61)&gt;0,1,0),0),0),IF(建筑配方!$D$62="维护",IFERROR(IF(SEARCH(A8,建筑配方!$Q$62)&gt;0,1,0),0),0),IF(建筑配方!$D$63="维护",IFERROR(IF(SEARCH(A8,建筑配方!$Q$63)&gt;0,1,0),0),0),IF(建筑配方!$D$64="维护",IFERROR(IF(SEARCH(A8,建筑配方!$Q$64)&gt;0,1,0),0),0),IF(建筑配方!$D$65="维护",IFERROR(IF(SEARCH(A8,建筑配方!$Q$65)&gt;0,1,0),0),0),IF(建筑配方!$D$66="维护",IFERROR(IF(SEARCH(A8,建筑配方!$Q$66)&gt;0,1,0),0),0),IF(建筑配方!$D$67="维护",IFERROR(IF(SEARCH(A8,建筑配方!$Q$67)&gt;0,1,0),0),0),IF(建筑配方!$D$68="维护",IFERROR(IF(SEARCH(A8,建筑配方!$Q$68)&gt;0,1,0),0),0),IF(建筑配方!$D$69="维护",IFERROR(IF(SEARCH(A8,建筑配方!$Q$69)&gt;0,1,0),0),0),IF(建筑配方!$D$70="维护",IFERROR(IF(SEARCH(A8,建筑配方!$Q$70)&gt;0,1,0),0),0),IF(建筑配方!$D$71="维护",IFERROR(IF(SEARCH(A8,建筑配方!$Q$71)&gt;0,1,0),0),0),IF(建筑配方!$D$72="维护",IFERROR(IF(SEARCH(A8,建筑配方!$Q$72)&gt;0,1,0),0),0),IF(建筑配方!$D$73="维护",IFERROR(IF(SEARCH(A8,建筑配方!$Q$73)&gt;0,1,0),0),0),IF(建筑配方!$D$74="维护",IFERROR(IF(SEARCH(A8,建筑配方!$Q$74)&gt;0,1,0),0),0),IF(建筑配方!$D$75="维护",IFERROR(IF(SEARCH(A8,建筑配方!$Q$75)&gt;0,1,0),0),0),IF(建筑配方!$D$76="维护",IFERROR(IF(SEARCH(A8,建筑配方!$Q$76)&gt;0,1,0),0),0),IF(建筑配方!$D$77="维护",IFERROR(IF(SEARCH(A8,建筑配方!$Q$77)&gt;0,1,0),0),0),IF(建筑配方!$D$78="维护",IFERROR(IF(SEARCH(A8,建筑配方!$Q$78)&gt;0,1,0),0),0),IF(建筑配方!$D$79="维护",IFERROR(IF(SEARCH(A8,建筑配方!$Q$79)&gt;0,1,0),0),0),IF(建筑配方!$D$80="维护",IFERROR(IF(SEARCH(A8,建筑配方!$Q$80)&gt;0,1,0),0),0),IF(建筑配方!$D$81="维护",IFERROR(IF(SEARCH(A8,建筑配方!$Q$81)&gt;0,1,0),0),0),IF(建筑配方!$D$82="维护",IFERROR(IF(SEARCH(A8,建筑配方!$Q$82)&gt;0,1,0),0),0),IF(建筑配方!$D$83="维护",IFERROR(IF(SEARCH(A8,建筑配方!$Q$83)&gt;0,1,0),0),0),IF(建筑配方!$D$84="维护",IFERROR(IF(SEARCH(A8,建筑配方!$Q$84)&gt;0,1,0),0),0),IF(建筑配方!$D$85="维护",IFERROR(IF(SEARCH(A8,建筑配方!$Q$85)&gt;0,1,0),0),0),IF(建筑配方!$D$86="维护",IFERROR(IF(SEARCH(A8,建筑配方!$Q$86)&gt;0,1,0),0),0),IF(建筑配方!$D$87="维护",IFERROR(IF(SEARCH(A8,建筑配方!$Q$87)&gt;0,1,0),0),0),IF(建筑配方!$D$88="维护",IFERROR(IF(SEARCH(A8,建筑配方!$Q$88)&gt;0,1,0),0),0),IF(建筑配方!$D$89="维护",IFERROR(IF(SEARCH(A8,建筑配方!$Q$89)&gt;0,1,0),0),0),IF(建筑配方!$D$90="维护",IFERROR(IF(SEARCH(A8,建筑配方!$Q$90)&gt;0,1,0),0),0),IF(建筑配方!$D$91="维护",IFERROR(IF(SEARCH(A8,建筑配方!$Q$91)&gt;0,1,0),0),0),IF(建筑配方!$D$92="维护",IFERROR(IF(SEARCH(A8,建筑配方!$Q$92)&gt;0,1,0),0),0),IF(建筑配方!$D$93="维护",IFERROR(IF(SEARCH(A8,建筑配方!$Q$93)&gt;0,1,0),0),0),IF(建筑配方!$D$94="维护",IFERROR(IF(SEARCH(A8,建筑配方!$Q$94)&gt;0,1,0),0),0),IF(建筑配方!$D$95="维护",IFERROR(IF(SEARCH(A8,建筑配方!$Q$95)&gt;0,1,0),0),0),IF(建筑配方!$D$96="维护",IFERROR(IF(SEARCH(A8,建筑配方!$Q$96)&gt;0,1,0),0),0),IF(建筑配方!$D$97="维护",IFERROR(IF(SEARCH(A8,建筑配方!$Q$97)&gt;0,1,0),0),0),IF(建筑配方!$D$98="维护",IFERROR(IF(SEARCH(A8,建筑配方!$Q$98)&gt;0,1,0),0),0),IF(建筑配方!$D$99="维护",IFERROR(IF(SEARCH(A8,建筑配方!$Q$99)&gt;0,1,0),0),0),IF(建筑配方!$D$100="维护",IFERROR(IF(SEARCH(A8,建筑配方!$Q$100)&gt;0,1,0),0),0),IF(建筑配方!$D$101="维护",IFERROR(IF(SEARCH(A8,建筑配方!$Q$101)&gt;0,1,0),0),0),IF(建筑配方!$D$102="维护",IFERROR(IF(SEARCH(A8,建筑配方!$Q$102)&gt;0,1,0),0),0),IF(建筑配方!$D$103="维护",IFERROR(IF(SEARCH(A8,建筑配方!$Q$103)&gt;0,1,0),0),0),IF(建筑配方!$D$104="维护",IFERROR(IF(SEARCH(A8,建筑配方!$Q$104)&gt;0,1,0),0),0),IF(建筑配方!$D$105="维护",IFERROR(IF(SEARCH(A8,建筑配方!$Q$105)&gt;0,1,0),0),0),IF(建筑配方!$D$106="维护",IFERROR(IF(SEARCH(A8,建筑配方!$Q$106)&gt;0,1,0),0),0),IF(建筑配方!$D$107="维护",IFERROR(IF(SEARCH(A8,建筑配方!$Q$107)&gt;0,1,0),0),0),IF(建筑配方!$D$108="维护",IFERROR(IF(SEARCH(A8,建筑配方!$Q$108)&gt;0,1,0),0),0),IF(建筑配方!$D$109="维护",IFERROR(IF(SEARCH(A8,建筑配方!$Q$109)&gt;0,1,0),0),0),IF(建筑配方!$D$110="维护",IFERROR(IF(SEARCH(A8,建筑配方!$Q$110)&gt;0,1,0),0),0),IF(建筑配方!$D$111="维护",IFERROR(IF(SEARCH(A8,建筑配方!$Q$111)&gt;0,1,0),0),0),IF(建筑配方!$D$112="维护",IFERROR(IF(SEARCH(A8,建筑配方!$Q$112)&gt;0,1,0),0),0),IF(建筑配方!$D$113="维护",IFERROR(IF(SEARCH(A8,建筑配方!$Q$113)&gt;0,1,0),0),0),IF(建筑配方!$D$114="维护",IFERROR(IF(SEARCH(A8,建筑配方!$Q$114)&gt;0,1,0),0),0),IF(建筑配方!$D$115="维护",IFERROR(IF(SEARCH(A8,建筑配方!$Q$115)&gt;0,1,0),0),0),IF(建筑配方!$D$116="维护",IFERROR(IF(SEARCH(A8,建筑配方!$Q$116)&gt;0,1,0),0),0),IF(建筑配方!$D$117="维护",IFERROR(IF(SEARCH(A8,建筑配方!$Q$117)&gt;0,1,0),0),0),IF(建筑配方!$D$118="维护",IFERROR(IF(SEARCH(A8,建筑配方!$Q$118)&gt;0,1,0),0),0))</x:f>
        <x:v>1</x:v>
      </x:c>
      <x:c r="I8" s="10" t="n">
        <x:f aca="0">SUM(IFERROR(IF(SEARCH(A8,物品!$H$4)&gt;0,1,0),0),IFERROR(IF(SEARCH(A8,物品!$H$5)&gt;0,1,0),0),IFERROR(IF(SEARCH(A8,物品!$H$6)&gt;0,1,0),0),IFERROR(IF(SEARCH(A8,物品!$H$7)&gt;0,1,0),0),IFERROR(IF(SEARCH(A8,物品!$H$8)&gt;0,1,0),0),IFERROR(IF(SEARCH(A8,物品!$H$9)&gt;0,1,0),0),IFERROR(IF(SEARCH(A8,物品!$H$10)&gt;0,1,0),0),IFERROR(IF(SEARCH(A8,物品!$H$11)&gt;0,1,0),0),IFERROR(IF(SEARCH(A8,物品!$H$12)&gt;0,1,0),0),IFERROR(IF(SEARCH(A8,物品!$H$13)&gt;0,1,0),0),IFERROR(IF(SEARCH(A8,物品!$H$14)&gt;0,1,0),0),IFERROR(IF(SEARCH(A8,物品!$H$15)&gt;0,1,0),0),IFERROR(IF(SEARCH(A8,物品!$H$16)&gt;0,1,0),0),IFERROR(IF(SEARCH(A8,物品!$H$17)&gt;0,1,0),0),IFERROR(IF(SEARCH(A8,物品!$H$18)&gt;0,1,0),0),IFERROR(IF(SEARCH(A8,物品!$H$19)&gt;0,1,0),0),IFERROR(IF(SEARCH(A8,物品!$H$20)&gt;0,1,0),0),IFERROR(IF(SEARCH(A8,物品!$H$21)&gt;0,1,0),0),IFERROR(IF(SEARCH(A8,物品!$H$22)&gt;0,1,0),0),IFERROR(IF(SEARCH(A8,物品!$H$23)&gt;0,1,0),0),IFERROR(IF(SEARCH(A8,物品!$H$24)&gt;0,1,0),0),IFERROR(IF(SEARCH(A8,物品!$H$25)&gt;0,1,0),0),IFERROR(IF(SEARCH(A8,物品!$H$26)&gt;0,1,0),0),IFERROR(IF(SEARCH(A8,物品!$H$27)&gt;0,1,0),0),IFERROR(IF(SEARCH(A8,物品!$H$28)&gt;0,1,0),0),IFERROR(IF(SEARCH(A8,物品!$H$29)&gt;0,1,0),0),IFERROR(IF(SEARCH(A8,物品!$H$30)&gt;0,1,0),0),IFERROR(IF(SEARCH(A8,物品!$H$31)&gt;0,1,0),0),IFERROR(IF(SEARCH(A8,物品!$H$32)&gt;0,1,0),0),IFERROR(IF(SEARCH(A8,物品!$H$33)&gt;0,1,0),0),IFERROR(IF(SEARCH(A8,物品!$H$34)&gt;0,1,0),0),IFERROR(IF(SEARCH(A8,物品!$H$35)&gt;0,1,0),0),IFERROR(IF(SEARCH(A8,物品!$H$36)&gt;0,1,0),0),IFERROR(IF(SEARCH(A8,物品!$H$37)&gt;0,1,0),0),IFERROR(IF(SEARCH(A8,物品!$H$38)&gt;0,1,0),0),IFERROR(IF(SEARCH(A8,物品!$H$39)&gt;0,1,0),0),IFERROR(IF(SEARCH(A8,物品!$H$40)&gt;0,1,0),0),IFERROR(IF(SEARCH(A8,物品!$H$41)&gt;0,1,0),0),IFERROR(IF(SEARCH(A8,物品!$H$42)&gt;0,1,0),0),IFERROR(IF(SEARCH(A8,物品!$H$43)&gt;0,1,0),0),IFERROR(IF(SEARCH(A8,物品!$H$44)&gt;0,1,0),0),IFERROR(IF(SEARCH(A8,物品!$H$45)&gt;0,1,0),0),IFERROR(IF(SEARCH(A8,物品!$H$46)&gt;0,1,0),0),IFERROR(IF(SEARCH(A8,物品!$H$47)&gt;0,1,0),0),IFERROR(IF(SEARCH(A8,物品!$H$48)&gt;0,1,0),0),IFERROR(IF(SEARCH(A8,物品!$H$49)&gt;0,1,0),0),IFERROR(IF(SEARCH(A8,物品!$H$50)&gt;0,1,0),0),IFERROR(IF(SEARCH(A8,物品!$H$51)&gt;0,1,0),0),IFERROR(IF(SEARCH(A8,物品!$H$52)&gt;0,1,0),0),IFERROR(IF(SEARCH(A8,物品!$H$53)&gt;0,1,0),0),IFERROR(IF(SEARCH(A8,物品!$H$54)&gt;0,1,0),0),IFERROR(IF(SEARCH(A8,物品!$H$55)&gt;0,1,0),0),IFERROR(IF(SEARCH(A8,物品!$H$56)&gt;0,1,0),0),IFERROR(IF(SEARCH(A8,物品!$H$57)&gt;0,1,0),0),IFERROR(IF(SEARCH(A8,物品!$H$58)&gt;0,1,0),0),IFERROR(IF(SEARCH(A8,物品!$H$59)&gt;0,1,0),0),IFERROR(IF(SEARCH(A8,物品!$H$60)&gt;0,1,0),0),IFERROR(IF(SEARCH(A8,物品!$H$61)&gt;0,1,0),0),IFERROR(IF(SEARCH(A8,物品!$H$62)&gt;0,1,0),0),IFERROR(IF(SEARCH(A8,物品!$H$63)&gt;0,1,0),0),IFERROR(IF(SEARCH(A8,物品!$H$64)&gt;0,1,0),0),IFERROR(IF(SEARCH(A8,物品!$H$65)&gt;0,1,0),0),IFERROR(IF(SEARCH(A8,物品!$H$66)&gt;0,1,0),0),IFERROR(IF(SEARCH(A8,物品!$H$67)&gt;0,1,0),0),IFERROR(IF(SEARCH(A8,物品!$H$68)&gt;0,1,0),0),IFERROR(IF(SEARCH(A8,物品!$H$69)&gt;0,1,0),0),IFERROR(IF(SEARCH(A8,物品!$H$70)&gt;0,1,0),0),IFERROR(IF(SEARCH(A8,物品!$H$71)&gt;0,1,0),0),IFERROR(IF(SEARCH(A8,物品!$H$72)&gt;0,1,0),0),IFERROR(IF(SEARCH(A8,物品!$H$73)&gt;0,1,0),0),IFERROR(IF(SEARCH(A8,物品!$H$74)&gt;0,1,0),0),IFERROR(IF(SEARCH(A8,物品!$H$75)&gt;0,1,0),0),IFERROR(IF(SEARCH(A8,物品!$H$76)&gt;0,1,0),0),IFERROR(IF(SEARCH(A8,物品!$H$77)&gt;0,1,0),0),IFERROR(IF(SEARCH(A8,物品!$H$78)&gt;0,1,0),0),IFERROR(IF(SEARCH(A8,物品!$H$79)&gt;0,1,0),0),IFERROR(IF(SEARCH(A8,物品!$H$80)&gt;0,1,0),0),IFERROR(IF(SEARCH(A8,物品!$H$81)&gt;0,1,0),0),IFERROR(IF(SEARCH(A8,物品!$H$82)&gt;0,1,0),0),IFERROR(IF(SEARCH(A8,物品!$H$83)&gt;0,1,0),0),IFERROR(IF(SEARCH(A8,物品!$H$84)&gt;0,1,0),0),IFERROR(IF(SEARCH(A8,物品!$H$85)&gt;0,1,0),0),IFERROR(IF(SEARCH(A8,物品!$H$86)&gt;0,1,0),0),IFERROR(IF(SEARCH(A8,物品!$H$87)&gt;0,1,0),0),IFERROR(IF(SEARCH(A8,物品!$H$88)&gt;0,1,0),0),IFERROR(IF(SEARCH(A8,物品!$H$89)&gt;0,1,0),0),IFERROR(IF(SEARCH(A8,物品!$H$90)&gt;0,1,0),0),IFERROR(IF(SEARCH(A8,物品!$H$91)&gt;0,1,0),0),IFERROR(IF(SEARCH(A8,物品!$H$92)&gt;0,1,0),0),IFERROR(IF(SEARCH(A8,物品!$H$93)&gt;0,1,0),0),IFERROR(IF(SEARCH(A8,物品!$H$94)&gt;0,1,0),0),IFERROR(IF(SEARCH(A8,物品!$H$95)&gt;0,1,0),0),IFERROR(IF(SEARCH(A8,物品!$H$96)&gt;0,1,0),0),IFERROR(IF(SEARCH(A8,物品!$H$97)&gt;0,1,0),0),IFERROR(IF(SEARCH(A8,物品!$H$98)&gt;0,1,0),0),IFERROR(IF(SEARCH(A8,物品!$H$99)&gt;0,1,0),0),IFERROR(IF(SEARCH(A8,物品!$H$100)&gt;0,1,0),0),IFERROR(IF(SEARCH(A8,物品!$H$101)&gt;0,1,0),0),IFERROR(IF(SEARCH(A8,物品!$H$102)&gt;0,1,0),0),IFERROR(IF(SEARCH(A8,物品!$H$103)&gt;0,1,0),0))</x:f>
        <x:v>2</x:v>
      </x:c>
      <x:c r="J8" s="10" t="n">
        <x:f aca="0">SUMPRODUCT(--(建筑配方!$G$4:$L$118=A8))</x:f>
        <x:v>1</x:v>
      </x:c>
      <x:c r="K8" s="6" t="s">
        <x:v>125</x:v>
      </x:c>
    </x:row>
    <x:row r="9" ht="15" hidden="0">
      <x:c r="A9" s="6" t="s">
        <x:v>126</x:v>
      </x:c>
      <x:c r="B9" s="15" t="s">
        <x:v>120</x:v>
      </x:c>
      <x:c r="C9" s="13" t="s">
        <x:v>117</x:v>
      </x:c>
      <x:c r="D9" s="10" t="str">
        <x:f aca="0">IFERROR(INDEX(建筑配方!$C$4:$C$118,MATCH(A9,建筑配方!$M$4:$M$118,0)),"")</x:f>
        <x:v>家电厂</x:v>
      </x:c>
      <x:c r="E9" s="10" t="n">
        <x:f aca="0">SUMPRODUCT((建筑配方!$M$4:$M$118=A9)*((建筑配方!$G$4:$G$118&lt;&gt;"")+(建筑配方!$H$4:$H$118&lt;&gt;"")+(建筑配方!$I$4:$I$118&lt;&gt;"")+(建筑配方!$J$4:$J$118&lt;&gt;"")+(建筑配方!$K$4:$K$118&lt;&gt;"")+(建筑配方!$L$4:$L$118&lt;&gt;"")))</x:f>
        <x:v>5</x:v>
      </x:c>
      <x:c r="F9" s="10" t="n">
        <x:f aca="0">SUMPRODUCT((建筑配方!$C$4:$C$118=A9)*(建筑配方!$D$4:$D$118="使用")*((建筑配方!$G$4:$G$118&lt;&gt;"")+(建筑配方!$H$4:$H$118&lt;&gt;"")+(建筑配方!$I$4:$I$118&lt;&gt;"")+(建筑配方!$J$4:$J$118&lt;&gt;"")+(建筑配方!$K$4:$K$118&lt;&gt;"")+(建筑配方!$L$4:$L$118&lt;&gt;"")))</x:f>
        <x:v>3</x:v>
      </x:c>
      <x:c r="G9" s="10" t="n">
        <x:f aca="0">SUMPRODUCT((建筑配方!$C$4:$C$118=A9)*(建筑配方!$D$4:$D$118="使用")*(建筑配方!$N$4:$N$118&lt;&gt;""))</x:f>
        <x:v>1</x:v>
      </x:c>
      <x:c r="H9" s="10" t="n">
        <x:f aca="0">SUM(IF(建筑配方!$D$4="维护",IFERROR(IF(SEARCH(A9,建筑配方!$Q$4)&gt;0,1,0),0),0),IF(建筑配方!$D$5="维护",IFERROR(IF(SEARCH(A9,建筑配方!$Q$5)&gt;0,1,0),0),0),IF(建筑配方!$D$6="维护",IFERROR(IF(SEARCH(A9,建筑配方!$Q$6)&gt;0,1,0),0),0),IF(建筑配方!$D$7="维护",IFERROR(IF(SEARCH(A9,建筑配方!$Q$7)&gt;0,1,0),0),0),IF(建筑配方!$D$8="维护",IFERROR(IF(SEARCH(A9,建筑配方!$Q$8)&gt;0,1,0),0),0),IF(建筑配方!$D$9="维护",IFERROR(IF(SEARCH(A9,建筑配方!$Q$9)&gt;0,1,0),0),0),IF(建筑配方!$D$10="维护",IFERROR(IF(SEARCH(A9,建筑配方!$Q$10)&gt;0,1,0),0),0),IF(建筑配方!$D$11="维护",IFERROR(IF(SEARCH(A9,建筑配方!$Q$11)&gt;0,1,0),0),0),IF(建筑配方!$D$12="维护",IFERROR(IF(SEARCH(A9,建筑配方!$Q$12)&gt;0,1,0),0),0),IF(建筑配方!$D$13="维护",IFERROR(IF(SEARCH(A9,建筑配方!$Q$13)&gt;0,1,0),0),0),IF(建筑配方!$D$14="维护",IFERROR(IF(SEARCH(A9,建筑配方!$Q$14)&gt;0,1,0),0),0),IF(建筑配方!$D$15="维护",IFERROR(IF(SEARCH(A9,建筑配方!$Q$15)&gt;0,1,0),0),0),IF(建筑配方!$D$16="维护",IFERROR(IF(SEARCH(A9,建筑配方!$Q$16)&gt;0,1,0),0),0),IF(建筑配方!$D$17="维护",IFERROR(IF(SEARCH(A9,建筑配方!$Q$17)&gt;0,1,0),0),0),IF(建筑配方!$D$18="维护",IFERROR(IF(SEARCH(A9,建筑配方!$Q$18)&gt;0,1,0),0),0),IF(建筑配方!$D$19="维护",IFERROR(IF(SEARCH(A9,建筑配方!$Q$19)&gt;0,1,0),0),0),IF(建筑配方!$D$20="维护",IFERROR(IF(SEARCH(A9,建筑配方!$Q$20)&gt;0,1,0),0),0),IF(建筑配方!$D$21="维护",IFERROR(IF(SEARCH(A9,建筑配方!$Q$21)&gt;0,1,0),0),0),IF(建筑配方!$D$22="维护",IFERROR(IF(SEARCH(A9,建筑配方!$Q$22)&gt;0,1,0),0),0),IF(建筑配方!$D$23="维护",IFERROR(IF(SEARCH(A9,建筑配方!$Q$23)&gt;0,1,0),0),0),IF(建筑配方!$D$24="维护",IFERROR(IF(SEARCH(A9,建筑配方!$Q$24)&gt;0,1,0),0),0),IF(建筑配方!$D$25="维护",IFERROR(IF(SEARCH(A9,建筑配方!$Q$25)&gt;0,1,0),0),0),IF(建筑配方!$D$26="维护",IFERROR(IF(SEARCH(A9,建筑配方!$Q$26)&gt;0,1,0),0),0),IF(建筑配方!$D$27="维护",IFERROR(IF(SEARCH(A9,建筑配方!$Q$27)&gt;0,1,0),0),0),IF(建筑配方!$D$28="维护",IFERROR(IF(SEARCH(A9,建筑配方!$Q$28)&gt;0,1,0),0),0),IF(建筑配方!$D$29="维护",IFERROR(IF(SEARCH(A9,建筑配方!$Q$29)&gt;0,1,0),0),0),IF(建筑配方!$D$30="维护",IFERROR(IF(SEARCH(A9,建筑配方!$Q$30)&gt;0,1,0),0),0),IF(建筑配方!$D$31="维护",IFERROR(IF(SEARCH(A9,建筑配方!$Q$31)&gt;0,1,0),0),0),IF(建筑配方!$D$32="维护",IFERROR(IF(SEARCH(A9,建筑配方!$Q$32)&gt;0,1,0),0),0),IF(建筑配方!$D$33="维护",IFERROR(IF(SEARCH(A9,建筑配方!$Q$33)&gt;0,1,0),0),0),IF(建筑配方!$D$34="维护",IFERROR(IF(SEARCH(A9,建筑配方!$Q$34)&gt;0,1,0),0),0),IF(建筑配方!$D$35="维护",IFERROR(IF(SEARCH(A9,建筑配方!$Q$35)&gt;0,1,0),0),0),IF(建筑配方!$D$36="维护",IFERROR(IF(SEARCH(A9,建筑配方!$Q$36)&gt;0,1,0),0),0),IF(建筑配方!$D$37="维护",IFERROR(IF(SEARCH(A9,建筑配方!$Q$37)&gt;0,1,0),0),0),IF(建筑配方!$D$38="维护",IFERROR(IF(SEARCH(A9,建筑配方!$Q$38)&gt;0,1,0),0),0),IF(建筑配方!$D$39="维护",IFERROR(IF(SEARCH(A9,建筑配方!$Q$39)&gt;0,1,0),0),0),IF(建筑配方!$D$40="维护",IFERROR(IF(SEARCH(A9,建筑配方!$Q$40)&gt;0,1,0),0),0),IF(建筑配方!$D$41="维护",IFERROR(IF(SEARCH(A9,建筑配方!$Q$41)&gt;0,1,0),0),0),IF(建筑配方!$D$42="维护",IFERROR(IF(SEARCH(A9,建筑配方!$Q$42)&gt;0,1,0),0),0),IF(建筑配方!$D$43="维护",IFERROR(IF(SEARCH(A9,建筑配方!$Q$43)&gt;0,1,0),0),0),IF(建筑配方!$D$44="维护",IFERROR(IF(SEARCH(A9,建筑配方!$Q$44)&gt;0,1,0),0),0),IF(建筑配方!$D$45="维护",IFERROR(IF(SEARCH(A9,建筑配方!$Q$45)&gt;0,1,0),0),0),IF(建筑配方!$D$46="维护",IFERROR(IF(SEARCH(A9,建筑配方!$Q$46)&gt;0,1,0),0),0),IF(建筑配方!$D$47="维护",IFERROR(IF(SEARCH(A9,建筑配方!$Q$47)&gt;0,1,0),0),0),IF(建筑配方!$D$48="维护",IFERROR(IF(SEARCH(A9,建筑配方!$Q$48)&gt;0,1,0),0),0),IF(建筑配方!$D$49="维护",IFERROR(IF(SEARCH(A9,建筑配方!$Q$49)&gt;0,1,0),0),0),IF(建筑配方!$D$50="维护",IFERROR(IF(SEARCH(A9,建筑配方!$Q$50)&gt;0,1,0),0),0),IF(建筑配方!$D$51="维护",IFERROR(IF(SEARCH(A9,建筑配方!$Q$51)&gt;0,1,0),0),0),IF(建筑配方!$D$52="维护",IFERROR(IF(SEARCH(A9,建筑配方!$Q$52)&gt;0,1,0),0),0),IF(建筑配方!$D$53="维护",IFERROR(IF(SEARCH(A9,建筑配方!$Q$53)&gt;0,1,0),0),0),IF(建筑配方!$D$54="维护",IFERROR(IF(SEARCH(A9,建筑配方!$Q$54)&gt;0,1,0),0),0),IF(建筑配方!$D$55="维护",IFERROR(IF(SEARCH(A9,建筑配方!$Q$55)&gt;0,1,0),0),0),IF(建筑配方!$D$56="维护",IFERROR(IF(SEARCH(A9,建筑配方!$Q$56)&gt;0,1,0),0),0),IF(建筑配方!$D$57="维护",IFERROR(IF(SEARCH(A9,建筑配方!$Q$57)&gt;0,1,0),0),0),IF(建筑配方!$D$58="维护",IFERROR(IF(SEARCH(A9,建筑配方!$Q$58)&gt;0,1,0),0),0),IF(建筑配方!$D$59="维护",IFERROR(IF(SEARCH(A9,建筑配方!$Q$59)&gt;0,1,0),0),0),IF(建筑配方!$D$60="维护",IFERROR(IF(SEARCH(A9,建筑配方!$Q$60)&gt;0,1,0),0),0),IF(建筑配方!$D$61="维护",IFERROR(IF(SEARCH(A9,建筑配方!$Q$61)&gt;0,1,0),0),0),IF(建筑配方!$D$62="维护",IFERROR(IF(SEARCH(A9,建筑配方!$Q$62)&gt;0,1,0),0),0),IF(建筑配方!$D$63="维护",IFERROR(IF(SEARCH(A9,建筑配方!$Q$63)&gt;0,1,0),0),0),IF(建筑配方!$D$64="维护",IFERROR(IF(SEARCH(A9,建筑配方!$Q$64)&gt;0,1,0),0),0),IF(建筑配方!$D$65="维护",IFERROR(IF(SEARCH(A9,建筑配方!$Q$65)&gt;0,1,0),0),0),IF(建筑配方!$D$66="维护",IFERROR(IF(SEARCH(A9,建筑配方!$Q$66)&gt;0,1,0),0),0),IF(建筑配方!$D$67="维护",IFERROR(IF(SEARCH(A9,建筑配方!$Q$67)&gt;0,1,0),0),0),IF(建筑配方!$D$68="维护",IFERROR(IF(SEARCH(A9,建筑配方!$Q$68)&gt;0,1,0),0),0),IF(建筑配方!$D$69="维护",IFERROR(IF(SEARCH(A9,建筑配方!$Q$69)&gt;0,1,0),0),0),IF(建筑配方!$D$70="维护",IFERROR(IF(SEARCH(A9,建筑配方!$Q$70)&gt;0,1,0),0),0),IF(建筑配方!$D$71="维护",IFERROR(IF(SEARCH(A9,建筑配方!$Q$71)&gt;0,1,0),0),0),IF(建筑配方!$D$72="维护",IFERROR(IF(SEARCH(A9,建筑配方!$Q$72)&gt;0,1,0),0),0),IF(建筑配方!$D$73="维护",IFERROR(IF(SEARCH(A9,建筑配方!$Q$73)&gt;0,1,0),0),0),IF(建筑配方!$D$74="维护",IFERROR(IF(SEARCH(A9,建筑配方!$Q$74)&gt;0,1,0),0),0),IF(建筑配方!$D$75="维护",IFERROR(IF(SEARCH(A9,建筑配方!$Q$75)&gt;0,1,0),0),0),IF(建筑配方!$D$76="维护",IFERROR(IF(SEARCH(A9,建筑配方!$Q$76)&gt;0,1,0),0),0),IF(建筑配方!$D$77="维护",IFERROR(IF(SEARCH(A9,建筑配方!$Q$77)&gt;0,1,0),0),0),IF(建筑配方!$D$78="维护",IFERROR(IF(SEARCH(A9,建筑配方!$Q$78)&gt;0,1,0),0),0),IF(建筑配方!$D$79="维护",IFERROR(IF(SEARCH(A9,建筑配方!$Q$79)&gt;0,1,0),0),0),IF(建筑配方!$D$80="维护",IFERROR(IF(SEARCH(A9,建筑配方!$Q$80)&gt;0,1,0),0),0),IF(建筑配方!$D$81="维护",IFERROR(IF(SEARCH(A9,建筑配方!$Q$81)&gt;0,1,0),0),0),IF(建筑配方!$D$82="维护",IFERROR(IF(SEARCH(A9,建筑配方!$Q$82)&gt;0,1,0),0),0),IF(建筑配方!$D$83="维护",IFERROR(IF(SEARCH(A9,建筑配方!$Q$83)&gt;0,1,0),0),0),IF(建筑配方!$D$84="维护",IFERROR(IF(SEARCH(A9,建筑配方!$Q$84)&gt;0,1,0),0),0),IF(建筑配方!$D$85="维护",IFERROR(IF(SEARCH(A9,建筑配方!$Q$85)&gt;0,1,0),0),0),IF(建筑配方!$D$86="维护",IFERROR(IF(SEARCH(A9,建筑配方!$Q$86)&gt;0,1,0),0),0),IF(建筑配方!$D$87="维护",IFERROR(IF(SEARCH(A9,建筑配方!$Q$87)&gt;0,1,0),0),0),IF(建筑配方!$D$88="维护",IFERROR(IF(SEARCH(A9,建筑配方!$Q$88)&gt;0,1,0),0),0),IF(建筑配方!$D$89="维护",IFERROR(IF(SEARCH(A9,建筑配方!$Q$89)&gt;0,1,0),0),0),IF(建筑配方!$D$90="维护",IFERROR(IF(SEARCH(A9,建筑配方!$Q$90)&gt;0,1,0),0),0),IF(建筑配方!$D$91="维护",IFERROR(IF(SEARCH(A9,建筑配方!$Q$91)&gt;0,1,0),0),0),IF(建筑配方!$D$92="维护",IFERROR(IF(SEARCH(A9,建筑配方!$Q$92)&gt;0,1,0),0),0),IF(建筑配方!$D$93="维护",IFERROR(IF(SEARCH(A9,建筑配方!$Q$93)&gt;0,1,0),0),0),IF(建筑配方!$D$94="维护",IFERROR(IF(SEARCH(A9,建筑配方!$Q$94)&gt;0,1,0),0),0),IF(建筑配方!$D$95="维护",IFERROR(IF(SEARCH(A9,建筑配方!$Q$95)&gt;0,1,0),0),0),IF(建筑配方!$D$96="维护",IFERROR(IF(SEARCH(A9,建筑配方!$Q$96)&gt;0,1,0),0),0),IF(建筑配方!$D$97="维护",IFERROR(IF(SEARCH(A9,建筑配方!$Q$97)&gt;0,1,0),0),0),IF(建筑配方!$D$98="维护",IFERROR(IF(SEARCH(A9,建筑配方!$Q$98)&gt;0,1,0),0),0),IF(建筑配方!$D$99="维护",IFERROR(IF(SEARCH(A9,建筑配方!$Q$99)&gt;0,1,0),0),0),IF(建筑配方!$D$100="维护",IFERROR(IF(SEARCH(A9,建筑配方!$Q$100)&gt;0,1,0),0),0),IF(建筑配方!$D$101="维护",IFERROR(IF(SEARCH(A9,建筑配方!$Q$101)&gt;0,1,0),0),0),IF(建筑配方!$D$102="维护",IFERROR(IF(SEARCH(A9,建筑配方!$Q$102)&gt;0,1,0),0),0),IF(建筑配方!$D$103="维护",IFERROR(IF(SEARCH(A9,建筑配方!$Q$103)&gt;0,1,0),0),0),IF(建筑配方!$D$104="维护",IFERROR(IF(SEARCH(A9,建筑配方!$Q$104)&gt;0,1,0),0),0),IF(建筑配方!$D$105="维护",IFERROR(IF(SEARCH(A9,建筑配方!$Q$105)&gt;0,1,0),0),0),IF(建筑配方!$D$106="维护",IFERROR(IF(SEARCH(A9,建筑配方!$Q$106)&gt;0,1,0),0),0),IF(建筑配方!$D$107="维护",IFERROR(IF(SEARCH(A9,建筑配方!$Q$107)&gt;0,1,0),0),0),IF(建筑配方!$D$108="维护",IFERROR(IF(SEARCH(A9,建筑配方!$Q$108)&gt;0,1,0),0),0),IF(建筑配方!$D$109="维护",IFERROR(IF(SEARCH(A9,建筑配方!$Q$109)&gt;0,1,0),0),0),IF(建筑配方!$D$110="维护",IFERROR(IF(SEARCH(A9,建筑配方!$Q$110)&gt;0,1,0),0),0),IF(建筑配方!$D$111="维护",IFERROR(IF(SEARCH(A9,建筑配方!$Q$111)&gt;0,1,0),0),0),IF(建筑配方!$D$112="维护",IFERROR(IF(SEARCH(A9,建筑配方!$Q$112)&gt;0,1,0),0),0),IF(建筑配方!$D$113="维护",IFERROR(IF(SEARCH(A9,建筑配方!$Q$113)&gt;0,1,0),0),0),IF(建筑配方!$D$114="维护",IFERROR(IF(SEARCH(A9,建筑配方!$Q$114)&gt;0,1,0),0),0),IF(建筑配方!$D$115="维护",IFERROR(IF(SEARCH(A9,建筑配方!$Q$115)&gt;0,1,0),0),0),IF(建筑配方!$D$116="维护",IFERROR(IF(SEARCH(A9,建筑配方!$Q$116)&gt;0,1,0),0),0),IF(建筑配方!$D$117="维护",IFERROR(IF(SEARCH(A9,建筑配方!$Q$117)&gt;0,1,0),0),0),IF(建筑配方!$D$118="维护",IFERROR(IF(SEARCH(A9,建筑配方!$Q$118)&gt;0,1,0),0),0))</x:f>
        <x:v>1</x:v>
      </x:c>
      <x:c r="I9" s="10" t="n">
        <x:f aca="0">SUM(IFERROR(IF(SEARCH(A9,物品!$H$4)&gt;0,1,0),0),IFERROR(IF(SEARCH(A9,物品!$H$5)&gt;0,1,0),0),IFERROR(IF(SEARCH(A9,物品!$H$6)&gt;0,1,0),0),IFERROR(IF(SEARCH(A9,物品!$H$7)&gt;0,1,0),0),IFERROR(IF(SEARCH(A9,物品!$H$8)&gt;0,1,0),0),IFERROR(IF(SEARCH(A9,物品!$H$9)&gt;0,1,0),0),IFERROR(IF(SEARCH(A9,物品!$H$10)&gt;0,1,0),0),IFERROR(IF(SEARCH(A9,物品!$H$11)&gt;0,1,0),0),IFERROR(IF(SEARCH(A9,物品!$H$12)&gt;0,1,0),0),IFERROR(IF(SEARCH(A9,物品!$H$13)&gt;0,1,0),0),IFERROR(IF(SEARCH(A9,物品!$H$14)&gt;0,1,0),0),IFERROR(IF(SEARCH(A9,物品!$H$15)&gt;0,1,0),0),IFERROR(IF(SEARCH(A9,物品!$H$16)&gt;0,1,0),0),IFERROR(IF(SEARCH(A9,物品!$H$17)&gt;0,1,0),0),IFERROR(IF(SEARCH(A9,物品!$H$18)&gt;0,1,0),0),IFERROR(IF(SEARCH(A9,物品!$H$19)&gt;0,1,0),0),IFERROR(IF(SEARCH(A9,物品!$H$20)&gt;0,1,0),0),IFERROR(IF(SEARCH(A9,物品!$H$21)&gt;0,1,0),0),IFERROR(IF(SEARCH(A9,物品!$H$22)&gt;0,1,0),0),IFERROR(IF(SEARCH(A9,物品!$H$23)&gt;0,1,0),0),IFERROR(IF(SEARCH(A9,物品!$H$24)&gt;0,1,0),0),IFERROR(IF(SEARCH(A9,物品!$H$25)&gt;0,1,0),0),IFERROR(IF(SEARCH(A9,物品!$H$26)&gt;0,1,0),0),IFERROR(IF(SEARCH(A9,物品!$H$27)&gt;0,1,0),0),IFERROR(IF(SEARCH(A9,物品!$H$28)&gt;0,1,0),0),IFERROR(IF(SEARCH(A9,物品!$H$29)&gt;0,1,0),0),IFERROR(IF(SEARCH(A9,物品!$H$30)&gt;0,1,0),0),IFERROR(IF(SEARCH(A9,物品!$H$31)&gt;0,1,0),0),IFERROR(IF(SEARCH(A9,物品!$H$32)&gt;0,1,0),0),IFERROR(IF(SEARCH(A9,物品!$H$33)&gt;0,1,0),0),IFERROR(IF(SEARCH(A9,物品!$H$34)&gt;0,1,0),0),IFERROR(IF(SEARCH(A9,物品!$H$35)&gt;0,1,0),0),IFERROR(IF(SEARCH(A9,物品!$H$36)&gt;0,1,0),0),IFERROR(IF(SEARCH(A9,物品!$H$37)&gt;0,1,0),0),IFERROR(IF(SEARCH(A9,物品!$H$38)&gt;0,1,0),0),IFERROR(IF(SEARCH(A9,物品!$H$39)&gt;0,1,0),0),IFERROR(IF(SEARCH(A9,物品!$H$40)&gt;0,1,0),0),IFERROR(IF(SEARCH(A9,物品!$H$41)&gt;0,1,0),0),IFERROR(IF(SEARCH(A9,物品!$H$42)&gt;0,1,0),0),IFERROR(IF(SEARCH(A9,物品!$H$43)&gt;0,1,0),0),IFERROR(IF(SEARCH(A9,物品!$H$44)&gt;0,1,0),0),IFERROR(IF(SEARCH(A9,物品!$H$45)&gt;0,1,0),0),IFERROR(IF(SEARCH(A9,物品!$H$46)&gt;0,1,0),0),IFERROR(IF(SEARCH(A9,物品!$H$47)&gt;0,1,0),0),IFERROR(IF(SEARCH(A9,物品!$H$48)&gt;0,1,0),0),IFERROR(IF(SEARCH(A9,物品!$H$49)&gt;0,1,0),0),IFERROR(IF(SEARCH(A9,物品!$H$50)&gt;0,1,0),0),IFERROR(IF(SEARCH(A9,物品!$H$51)&gt;0,1,0),0),IFERROR(IF(SEARCH(A9,物品!$H$52)&gt;0,1,0),0),IFERROR(IF(SEARCH(A9,物品!$H$53)&gt;0,1,0),0),IFERROR(IF(SEARCH(A9,物品!$H$54)&gt;0,1,0),0),IFERROR(IF(SEARCH(A9,物品!$H$55)&gt;0,1,0),0),IFERROR(IF(SEARCH(A9,物品!$H$56)&gt;0,1,0),0),IFERROR(IF(SEARCH(A9,物品!$H$57)&gt;0,1,0),0),IFERROR(IF(SEARCH(A9,物品!$H$58)&gt;0,1,0),0),IFERROR(IF(SEARCH(A9,物品!$H$59)&gt;0,1,0),0),IFERROR(IF(SEARCH(A9,物品!$H$60)&gt;0,1,0),0),IFERROR(IF(SEARCH(A9,物品!$H$61)&gt;0,1,0),0),IFERROR(IF(SEARCH(A9,物品!$H$62)&gt;0,1,0),0),IFERROR(IF(SEARCH(A9,物品!$H$63)&gt;0,1,0),0),IFERROR(IF(SEARCH(A9,物品!$H$64)&gt;0,1,0),0),IFERROR(IF(SEARCH(A9,物品!$H$65)&gt;0,1,0),0),IFERROR(IF(SEARCH(A9,物品!$H$66)&gt;0,1,0),0),IFERROR(IF(SEARCH(A9,物品!$H$67)&gt;0,1,0),0),IFERROR(IF(SEARCH(A9,物品!$H$68)&gt;0,1,0),0),IFERROR(IF(SEARCH(A9,物品!$H$69)&gt;0,1,0),0),IFERROR(IF(SEARCH(A9,物品!$H$70)&gt;0,1,0),0),IFERROR(IF(SEARCH(A9,物品!$H$71)&gt;0,1,0),0),IFERROR(IF(SEARCH(A9,物品!$H$72)&gt;0,1,0),0),IFERROR(IF(SEARCH(A9,物品!$H$73)&gt;0,1,0),0),IFERROR(IF(SEARCH(A9,物品!$H$74)&gt;0,1,0),0),IFERROR(IF(SEARCH(A9,物品!$H$75)&gt;0,1,0),0),IFERROR(IF(SEARCH(A9,物品!$H$76)&gt;0,1,0),0),IFERROR(IF(SEARCH(A9,物品!$H$77)&gt;0,1,0),0),IFERROR(IF(SEARCH(A9,物品!$H$78)&gt;0,1,0),0),IFERROR(IF(SEARCH(A9,物品!$H$79)&gt;0,1,0),0),IFERROR(IF(SEARCH(A9,物品!$H$80)&gt;0,1,0),0),IFERROR(IF(SEARCH(A9,物品!$H$81)&gt;0,1,0),0),IFERROR(IF(SEARCH(A9,物品!$H$82)&gt;0,1,0),0),IFERROR(IF(SEARCH(A9,物品!$H$83)&gt;0,1,0),0),IFERROR(IF(SEARCH(A9,物品!$H$84)&gt;0,1,0),0),IFERROR(IF(SEARCH(A9,物品!$H$85)&gt;0,1,0),0),IFERROR(IF(SEARCH(A9,物品!$H$86)&gt;0,1,0),0),IFERROR(IF(SEARCH(A9,物品!$H$87)&gt;0,1,0),0),IFERROR(IF(SEARCH(A9,物品!$H$88)&gt;0,1,0),0),IFERROR(IF(SEARCH(A9,物品!$H$89)&gt;0,1,0),0),IFERROR(IF(SEARCH(A9,物品!$H$90)&gt;0,1,0),0),IFERROR(IF(SEARCH(A9,物品!$H$91)&gt;0,1,0),0),IFERROR(IF(SEARCH(A9,物品!$H$92)&gt;0,1,0),0),IFERROR(IF(SEARCH(A9,物品!$H$93)&gt;0,1,0),0),IFERROR(IF(SEARCH(A9,物品!$H$94)&gt;0,1,0),0),IFERROR(IF(SEARCH(A9,物品!$H$95)&gt;0,1,0),0),IFERROR(IF(SEARCH(A9,物品!$H$96)&gt;0,1,0),0),IFERROR(IF(SEARCH(A9,物品!$H$97)&gt;0,1,0),0),IFERROR(IF(SEARCH(A9,物品!$H$98)&gt;0,1,0),0),IFERROR(IF(SEARCH(A9,物品!$H$99)&gt;0,1,0),0),IFERROR(IF(SEARCH(A9,物品!$H$100)&gt;0,1,0),0),IFERROR(IF(SEARCH(A9,物品!$H$101)&gt;0,1,0),0),IFERROR(IF(SEARCH(A9,物品!$H$102)&gt;0,1,0),0),IFERROR(IF(SEARCH(A9,物品!$H$103)&gt;0,1,0),0))</x:f>
        <x:v>3</x:v>
      </x:c>
      <x:c r="J9" s="10" t="n">
        <x:f aca="0">SUMPRODUCT(--(建筑配方!$G$4:$L$118=A9))</x:f>
        <x:v>1</x:v>
      </x:c>
      <x:c r="K9" s="6" t="s">
        <x:v>127</x:v>
      </x:c>
    </x:row>
    <x:row r="10" ht="15" hidden="0">
      <x:c r="A10" s="6" t="s">
        <x:v>128</x:v>
      </x:c>
      <x:c r="B10" s="15" t="s">
        <x:v>120</x:v>
      </x:c>
      <x:c r="C10" s="13" t="s">
        <x:v>117</x:v>
      </x:c>
      <x:c r="D10" s="10" t="str">
        <x:f aca="0">IFERROR(INDEX(建筑配方!$C$4:$C$118,MATCH(A10,建筑配方!$M$4:$M$118,0)),"")</x:f>
        <x:v>家电厂</x:v>
      </x:c>
      <x:c r="E10" s="10" t="n">
        <x:f aca="0">SUMPRODUCT((建筑配方!$M$4:$M$118=A10)*((建筑配方!$G$4:$G$118&lt;&gt;"")+(建筑配方!$H$4:$H$118&lt;&gt;"")+(建筑配方!$I$4:$I$118&lt;&gt;"")+(建筑配方!$J$4:$J$118&lt;&gt;"")+(建筑配方!$K$4:$K$118&lt;&gt;"")+(建筑配方!$L$4:$L$118&lt;&gt;"")))</x:f>
        <x:v>4</x:v>
      </x:c>
      <x:c r="F10" s="10" t="n">
        <x:f aca="0">SUMPRODUCT((建筑配方!$C$4:$C$118=A10)*(建筑配方!$D$4:$D$118="使用")*((建筑配方!$G$4:$G$118&lt;&gt;"")+(建筑配方!$H$4:$H$118&lt;&gt;"")+(建筑配方!$I$4:$I$118&lt;&gt;"")+(建筑配方!$J$4:$J$118&lt;&gt;"")+(建筑配方!$K$4:$K$118&lt;&gt;"")+(建筑配方!$L$4:$L$118&lt;&gt;"")))</x:f>
        <x:v>2</x:v>
      </x:c>
      <x:c r="G10" s="10" t="n">
        <x:f aca="0">SUMPRODUCT((建筑配方!$C$4:$C$118=A10)*(建筑配方!$D$4:$D$118="使用")*(建筑配方!$N$4:$N$118&lt;&gt;""))</x:f>
        <x:v>0</x:v>
      </x:c>
      <x:c r="H10" s="10" t="n">
        <x:f aca="0">SUM(IF(建筑配方!$D$4="维护",IFERROR(IF(SEARCH(A10,建筑配方!$Q$4)&gt;0,1,0),0),0),IF(建筑配方!$D$5="维护",IFERROR(IF(SEARCH(A10,建筑配方!$Q$5)&gt;0,1,0),0),0),IF(建筑配方!$D$6="维护",IFERROR(IF(SEARCH(A10,建筑配方!$Q$6)&gt;0,1,0),0),0),IF(建筑配方!$D$7="维护",IFERROR(IF(SEARCH(A10,建筑配方!$Q$7)&gt;0,1,0),0),0),IF(建筑配方!$D$8="维护",IFERROR(IF(SEARCH(A10,建筑配方!$Q$8)&gt;0,1,0),0),0),IF(建筑配方!$D$9="维护",IFERROR(IF(SEARCH(A10,建筑配方!$Q$9)&gt;0,1,0),0),0),IF(建筑配方!$D$10="维护",IFERROR(IF(SEARCH(A10,建筑配方!$Q$10)&gt;0,1,0),0),0),IF(建筑配方!$D$11="维护",IFERROR(IF(SEARCH(A10,建筑配方!$Q$11)&gt;0,1,0),0),0),IF(建筑配方!$D$12="维护",IFERROR(IF(SEARCH(A10,建筑配方!$Q$12)&gt;0,1,0),0),0),IF(建筑配方!$D$13="维护",IFERROR(IF(SEARCH(A10,建筑配方!$Q$13)&gt;0,1,0),0),0),IF(建筑配方!$D$14="维护",IFERROR(IF(SEARCH(A10,建筑配方!$Q$14)&gt;0,1,0),0),0),IF(建筑配方!$D$15="维护",IFERROR(IF(SEARCH(A10,建筑配方!$Q$15)&gt;0,1,0),0),0),IF(建筑配方!$D$16="维护",IFERROR(IF(SEARCH(A10,建筑配方!$Q$16)&gt;0,1,0),0),0),IF(建筑配方!$D$17="维护",IFERROR(IF(SEARCH(A10,建筑配方!$Q$17)&gt;0,1,0),0),0),IF(建筑配方!$D$18="维护",IFERROR(IF(SEARCH(A10,建筑配方!$Q$18)&gt;0,1,0),0),0),IF(建筑配方!$D$19="维护",IFERROR(IF(SEARCH(A10,建筑配方!$Q$19)&gt;0,1,0),0),0),IF(建筑配方!$D$20="维护",IFERROR(IF(SEARCH(A10,建筑配方!$Q$20)&gt;0,1,0),0),0),IF(建筑配方!$D$21="维护",IFERROR(IF(SEARCH(A10,建筑配方!$Q$21)&gt;0,1,0),0),0),IF(建筑配方!$D$22="维护",IFERROR(IF(SEARCH(A10,建筑配方!$Q$22)&gt;0,1,0),0),0),IF(建筑配方!$D$23="维护",IFERROR(IF(SEARCH(A10,建筑配方!$Q$23)&gt;0,1,0),0),0),IF(建筑配方!$D$24="维护",IFERROR(IF(SEARCH(A10,建筑配方!$Q$24)&gt;0,1,0),0),0),IF(建筑配方!$D$25="维护",IFERROR(IF(SEARCH(A10,建筑配方!$Q$25)&gt;0,1,0),0),0),IF(建筑配方!$D$26="维护",IFERROR(IF(SEARCH(A10,建筑配方!$Q$26)&gt;0,1,0),0),0),IF(建筑配方!$D$27="维护",IFERROR(IF(SEARCH(A10,建筑配方!$Q$27)&gt;0,1,0),0),0),IF(建筑配方!$D$28="维护",IFERROR(IF(SEARCH(A10,建筑配方!$Q$28)&gt;0,1,0),0),0),IF(建筑配方!$D$29="维护",IFERROR(IF(SEARCH(A10,建筑配方!$Q$29)&gt;0,1,0),0),0),IF(建筑配方!$D$30="维护",IFERROR(IF(SEARCH(A10,建筑配方!$Q$30)&gt;0,1,0),0),0),IF(建筑配方!$D$31="维护",IFERROR(IF(SEARCH(A10,建筑配方!$Q$31)&gt;0,1,0),0),0),IF(建筑配方!$D$32="维护",IFERROR(IF(SEARCH(A10,建筑配方!$Q$32)&gt;0,1,0),0),0),IF(建筑配方!$D$33="维护",IFERROR(IF(SEARCH(A10,建筑配方!$Q$33)&gt;0,1,0),0),0),IF(建筑配方!$D$34="维护",IFERROR(IF(SEARCH(A10,建筑配方!$Q$34)&gt;0,1,0),0),0),IF(建筑配方!$D$35="维护",IFERROR(IF(SEARCH(A10,建筑配方!$Q$35)&gt;0,1,0),0),0),IF(建筑配方!$D$36="维护",IFERROR(IF(SEARCH(A10,建筑配方!$Q$36)&gt;0,1,0),0),0),IF(建筑配方!$D$37="维护",IFERROR(IF(SEARCH(A10,建筑配方!$Q$37)&gt;0,1,0),0),0),IF(建筑配方!$D$38="维护",IFERROR(IF(SEARCH(A10,建筑配方!$Q$38)&gt;0,1,0),0),0),IF(建筑配方!$D$39="维护",IFERROR(IF(SEARCH(A10,建筑配方!$Q$39)&gt;0,1,0),0),0),IF(建筑配方!$D$40="维护",IFERROR(IF(SEARCH(A10,建筑配方!$Q$40)&gt;0,1,0),0),0),IF(建筑配方!$D$41="维护",IFERROR(IF(SEARCH(A10,建筑配方!$Q$41)&gt;0,1,0),0),0),IF(建筑配方!$D$42="维护",IFERROR(IF(SEARCH(A10,建筑配方!$Q$42)&gt;0,1,0),0),0),IF(建筑配方!$D$43="维护",IFERROR(IF(SEARCH(A10,建筑配方!$Q$43)&gt;0,1,0),0),0),IF(建筑配方!$D$44="维护",IFERROR(IF(SEARCH(A10,建筑配方!$Q$44)&gt;0,1,0),0),0),IF(建筑配方!$D$45="维护",IFERROR(IF(SEARCH(A10,建筑配方!$Q$45)&gt;0,1,0),0),0),IF(建筑配方!$D$46="维护",IFERROR(IF(SEARCH(A10,建筑配方!$Q$46)&gt;0,1,0),0),0),IF(建筑配方!$D$47="维护",IFERROR(IF(SEARCH(A10,建筑配方!$Q$47)&gt;0,1,0),0),0),IF(建筑配方!$D$48="维护",IFERROR(IF(SEARCH(A10,建筑配方!$Q$48)&gt;0,1,0),0),0),IF(建筑配方!$D$49="维护",IFERROR(IF(SEARCH(A10,建筑配方!$Q$49)&gt;0,1,0),0),0),IF(建筑配方!$D$50="维护",IFERROR(IF(SEARCH(A10,建筑配方!$Q$50)&gt;0,1,0),0),0),IF(建筑配方!$D$51="维护",IFERROR(IF(SEARCH(A10,建筑配方!$Q$51)&gt;0,1,0),0),0),IF(建筑配方!$D$52="维护",IFERROR(IF(SEARCH(A10,建筑配方!$Q$52)&gt;0,1,0),0),0),IF(建筑配方!$D$53="维护",IFERROR(IF(SEARCH(A10,建筑配方!$Q$53)&gt;0,1,0),0),0),IF(建筑配方!$D$54="维护",IFERROR(IF(SEARCH(A10,建筑配方!$Q$54)&gt;0,1,0),0),0),IF(建筑配方!$D$55="维护",IFERROR(IF(SEARCH(A10,建筑配方!$Q$55)&gt;0,1,0),0),0),IF(建筑配方!$D$56="维护",IFERROR(IF(SEARCH(A10,建筑配方!$Q$56)&gt;0,1,0),0),0),IF(建筑配方!$D$57="维护",IFERROR(IF(SEARCH(A10,建筑配方!$Q$57)&gt;0,1,0),0),0),IF(建筑配方!$D$58="维护",IFERROR(IF(SEARCH(A10,建筑配方!$Q$58)&gt;0,1,0),0),0),IF(建筑配方!$D$59="维护",IFERROR(IF(SEARCH(A10,建筑配方!$Q$59)&gt;0,1,0),0),0),IF(建筑配方!$D$60="维护",IFERROR(IF(SEARCH(A10,建筑配方!$Q$60)&gt;0,1,0),0),0),IF(建筑配方!$D$61="维护",IFERROR(IF(SEARCH(A10,建筑配方!$Q$61)&gt;0,1,0),0),0),IF(建筑配方!$D$62="维护",IFERROR(IF(SEARCH(A10,建筑配方!$Q$62)&gt;0,1,0),0),0),IF(建筑配方!$D$63="维护",IFERROR(IF(SEARCH(A10,建筑配方!$Q$63)&gt;0,1,0),0),0),IF(建筑配方!$D$64="维护",IFERROR(IF(SEARCH(A10,建筑配方!$Q$64)&gt;0,1,0),0),0),IF(建筑配方!$D$65="维护",IFERROR(IF(SEARCH(A10,建筑配方!$Q$65)&gt;0,1,0),0),0),IF(建筑配方!$D$66="维护",IFERROR(IF(SEARCH(A10,建筑配方!$Q$66)&gt;0,1,0),0),0),IF(建筑配方!$D$67="维护",IFERROR(IF(SEARCH(A10,建筑配方!$Q$67)&gt;0,1,0),0),0),IF(建筑配方!$D$68="维护",IFERROR(IF(SEARCH(A10,建筑配方!$Q$68)&gt;0,1,0),0),0),IF(建筑配方!$D$69="维护",IFERROR(IF(SEARCH(A10,建筑配方!$Q$69)&gt;0,1,0),0),0),IF(建筑配方!$D$70="维护",IFERROR(IF(SEARCH(A10,建筑配方!$Q$70)&gt;0,1,0),0),0),IF(建筑配方!$D$71="维护",IFERROR(IF(SEARCH(A10,建筑配方!$Q$71)&gt;0,1,0),0),0),IF(建筑配方!$D$72="维护",IFERROR(IF(SEARCH(A10,建筑配方!$Q$72)&gt;0,1,0),0),0),IF(建筑配方!$D$73="维护",IFERROR(IF(SEARCH(A10,建筑配方!$Q$73)&gt;0,1,0),0),0),IF(建筑配方!$D$74="维护",IFERROR(IF(SEARCH(A10,建筑配方!$Q$74)&gt;0,1,0),0),0),IF(建筑配方!$D$75="维护",IFERROR(IF(SEARCH(A10,建筑配方!$Q$75)&gt;0,1,0),0),0),IF(建筑配方!$D$76="维护",IFERROR(IF(SEARCH(A10,建筑配方!$Q$76)&gt;0,1,0),0),0),IF(建筑配方!$D$77="维护",IFERROR(IF(SEARCH(A10,建筑配方!$Q$77)&gt;0,1,0),0),0),IF(建筑配方!$D$78="维护",IFERROR(IF(SEARCH(A10,建筑配方!$Q$78)&gt;0,1,0),0),0),IF(建筑配方!$D$79="维护",IFERROR(IF(SEARCH(A10,建筑配方!$Q$79)&gt;0,1,0),0),0),IF(建筑配方!$D$80="维护",IFERROR(IF(SEARCH(A10,建筑配方!$Q$80)&gt;0,1,0),0),0),IF(建筑配方!$D$81="维护",IFERROR(IF(SEARCH(A10,建筑配方!$Q$81)&gt;0,1,0),0),0),IF(建筑配方!$D$82="维护",IFERROR(IF(SEARCH(A10,建筑配方!$Q$82)&gt;0,1,0),0),0),IF(建筑配方!$D$83="维护",IFERROR(IF(SEARCH(A10,建筑配方!$Q$83)&gt;0,1,0),0),0),IF(建筑配方!$D$84="维护",IFERROR(IF(SEARCH(A10,建筑配方!$Q$84)&gt;0,1,0),0),0),IF(建筑配方!$D$85="维护",IFERROR(IF(SEARCH(A10,建筑配方!$Q$85)&gt;0,1,0),0),0),IF(建筑配方!$D$86="维护",IFERROR(IF(SEARCH(A10,建筑配方!$Q$86)&gt;0,1,0),0),0),IF(建筑配方!$D$87="维护",IFERROR(IF(SEARCH(A10,建筑配方!$Q$87)&gt;0,1,0),0),0),IF(建筑配方!$D$88="维护",IFERROR(IF(SEARCH(A10,建筑配方!$Q$88)&gt;0,1,0),0),0),IF(建筑配方!$D$89="维护",IFERROR(IF(SEARCH(A10,建筑配方!$Q$89)&gt;0,1,0),0),0),IF(建筑配方!$D$90="维护",IFERROR(IF(SEARCH(A10,建筑配方!$Q$90)&gt;0,1,0),0),0),IF(建筑配方!$D$91="维护",IFERROR(IF(SEARCH(A10,建筑配方!$Q$91)&gt;0,1,0),0),0),IF(建筑配方!$D$92="维护",IFERROR(IF(SEARCH(A10,建筑配方!$Q$92)&gt;0,1,0),0),0),IF(建筑配方!$D$93="维护",IFERROR(IF(SEARCH(A10,建筑配方!$Q$93)&gt;0,1,0),0),0),IF(建筑配方!$D$94="维护",IFERROR(IF(SEARCH(A10,建筑配方!$Q$94)&gt;0,1,0),0),0),IF(建筑配方!$D$95="维护",IFERROR(IF(SEARCH(A10,建筑配方!$Q$95)&gt;0,1,0),0),0),IF(建筑配方!$D$96="维护",IFERROR(IF(SEARCH(A10,建筑配方!$Q$96)&gt;0,1,0),0),0),IF(建筑配方!$D$97="维护",IFERROR(IF(SEARCH(A10,建筑配方!$Q$97)&gt;0,1,0),0),0),IF(建筑配方!$D$98="维护",IFERROR(IF(SEARCH(A10,建筑配方!$Q$98)&gt;0,1,0),0),0),IF(建筑配方!$D$99="维护",IFERROR(IF(SEARCH(A10,建筑配方!$Q$99)&gt;0,1,0),0),0),IF(建筑配方!$D$100="维护",IFERROR(IF(SEARCH(A10,建筑配方!$Q$100)&gt;0,1,0),0),0),IF(建筑配方!$D$101="维护",IFERROR(IF(SEARCH(A10,建筑配方!$Q$101)&gt;0,1,0),0),0),IF(建筑配方!$D$102="维护",IFERROR(IF(SEARCH(A10,建筑配方!$Q$102)&gt;0,1,0),0),0),IF(建筑配方!$D$103="维护",IFERROR(IF(SEARCH(A10,建筑配方!$Q$103)&gt;0,1,0),0),0),IF(建筑配方!$D$104="维护",IFERROR(IF(SEARCH(A10,建筑配方!$Q$104)&gt;0,1,0),0),0),IF(建筑配方!$D$105="维护",IFERROR(IF(SEARCH(A10,建筑配方!$Q$105)&gt;0,1,0),0),0),IF(建筑配方!$D$106="维护",IFERROR(IF(SEARCH(A10,建筑配方!$Q$106)&gt;0,1,0),0),0),IF(建筑配方!$D$107="维护",IFERROR(IF(SEARCH(A10,建筑配方!$Q$107)&gt;0,1,0),0),0),IF(建筑配方!$D$108="维护",IFERROR(IF(SEARCH(A10,建筑配方!$Q$108)&gt;0,1,0),0),0),IF(建筑配方!$D$109="维护",IFERROR(IF(SEARCH(A10,建筑配方!$Q$109)&gt;0,1,0),0),0),IF(建筑配方!$D$110="维护",IFERROR(IF(SEARCH(A10,建筑配方!$Q$110)&gt;0,1,0),0),0),IF(建筑配方!$D$111="维护",IFERROR(IF(SEARCH(A10,建筑配方!$Q$111)&gt;0,1,0),0),0),IF(建筑配方!$D$112="维护",IFERROR(IF(SEARCH(A10,建筑配方!$Q$112)&gt;0,1,0),0),0),IF(建筑配方!$D$113="维护",IFERROR(IF(SEARCH(A10,建筑配方!$Q$113)&gt;0,1,0),0),0),IF(建筑配方!$D$114="维护",IFERROR(IF(SEARCH(A10,建筑配方!$Q$114)&gt;0,1,0),0),0),IF(建筑配方!$D$115="维护",IFERROR(IF(SEARCH(A10,建筑配方!$Q$115)&gt;0,1,0),0),0),IF(建筑配方!$D$116="维护",IFERROR(IF(SEARCH(A10,建筑配方!$Q$116)&gt;0,1,0),0),0),IF(建筑配方!$D$117="维护",IFERROR(IF(SEARCH(A10,建筑配方!$Q$117)&gt;0,1,0),0),0),IF(建筑配方!$D$118="维护",IFERROR(IF(SEARCH(A10,建筑配方!$Q$118)&gt;0,1,0),0),0))</x:f>
        <x:v>1</x:v>
      </x:c>
      <x:c r="I10" s="10" t="n">
        <x:f aca="0">SUM(IFERROR(IF(SEARCH(A10,物品!$H$4)&gt;0,1,0),0),IFERROR(IF(SEARCH(A10,物品!$H$5)&gt;0,1,0),0),IFERROR(IF(SEARCH(A10,物品!$H$6)&gt;0,1,0),0),IFERROR(IF(SEARCH(A10,物品!$H$7)&gt;0,1,0),0),IFERROR(IF(SEARCH(A10,物品!$H$8)&gt;0,1,0),0),IFERROR(IF(SEARCH(A10,物品!$H$9)&gt;0,1,0),0),IFERROR(IF(SEARCH(A10,物品!$H$10)&gt;0,1,0),0),IFERROR(IF(SEARCH(A10,物品!$H$11)&gt;0,1,0),0),IFERROR(IF(SEARCH(A10,物品!$H$12)&gt;0,1,0),0),IFERROR(IF(SEARCH(A10,物品!$H$13)&gt;0,1,0),0),IFERROR(IF(SEARCH(A10,物品!$H$14)&gt;0,1,0),0),IFERROR(IF(SEARCH(A10,物品!$H$15)&gt;0,1,0),0),IFERROR(IF(SEARCH(A10,物品!$H$16)&gt;0,1,0),0),IFERROR(IF(SEARCH(A10,物品!$H$17)&gt;0,1,0),0),IFERROR(IF(SEARCH(A10,物品!$H$18)&gt;0,1,0),0),IFERROR(IF(SEARCH(A10,物品!$H$19)&gt;0,1,0),0),IFERROR(IF(SEARCH(A10,物品!$H$20)&gt;0,1,0),0),IFERROR(IF(SEARCH(A10,物品!$H$21)&gt;0,1,0),0),IFERROR(IF(SEARCH(A10,物品!$H$22)&gt;0,1,0),0),IFERROR(IF(SEARCH(A10,物品!$H$23)&gt;0,1,0),0),IFERROR(IF(SEARCH(A10,物品!$H$24)&gt;0,1,0),0),IFERROR(IF(SEARCH(A10,物品!$H$25)&gt;0,1,0),0),IFERROR(IF(SEARCH(A10,物品!$H$26)&gt;0,1,0),0),IFERROR(IF(SEARCH(A10,物品!$H$27)&gt;0,1,0),0),IFERROR(IF(SEARCH(A10,物品!$H$28)&gt;0,1,0),0),IFERROR(IF(SEARCH(A10,物品!$H$29)&gt;0,1,0),0),IFERROR(IF(SEARCH(A10,物品!$H$30)&gt;0,1,0),0),IFERROR(IF(SEARCH(A10,物品!$H$31)&gt;0,1,0),0),IFERROR(IF(SEARCH(A10,物品!$H$32)&gt;0,1,0),0),IFERROR(IF(SEARCH(A10,物品!$H$33)&gt;0,1,0),0),IFERROR(IF(SEARCH(A10,物品!$H$34)&gt;0,1,0),0),IFERROR(IF(SEARCH(A10,物品!$H$35)&gt;0,1,0),0),IFERROR(IF(SEARCH(A10,物品!$H$36)&gt;0,1,0),0),IFERROR(IF(SEARCH(A10,物品!$H$37)&gt;0,1,0),0),IFERROR(IF(SEARCH(A10,物品!$H$38)&gt;0,1,0),0),IFERROR(IF(SEARCH(A10,物品!$H$39)&gt;0,1,0),0),IFERROR(IF(SEARCH(A10,物品!$H$40)&gt;0,1,0),0),IFERROR(IF(SEARCH(A10,物品!$H$41)&gt;0,1,0),0),IFERROR(IF(SEARCH(A10,物品!$H$42)&gt;0,1,0),0),IFERROR(IF(SEARCH(A10,物品!$H$43)&gt;0,1,0),0),IFERROR(IF(SEARCH(A10,物品!$H$44)&gt;0,1,0),0),IFERROR(IF(SEARCH(A10,物品!$H$45)&gt;0,1,0),0),IFERROR(IF(SEARCH(A10,物品!$H$46)&gt;0,1,0),0),IFERROR(IF(SEARCH(A10,物品!$H$47)&gt;0,1,0),0),IFERROR(IF(SEARCH(A10,物品!$H$48)&gt;0,1,0),0),IFERROR(IF(SEARCH(A10,物品!$H$49)&gt;0,1,0),0),IFERROR(IF(SEARCH(A10,物品!$H$50)&gt;0,1,0),0),IFERROR(IF(SEARCH(A10,物品!$H$51)&gt;0,1,0),0),IFERROR(IF(SEARCH(A10,物品!$H$52)&gt;0,1,0),0),IFERROR(IF(SEARCH(A10,物品!$H$53)&gt;0,1,0),0),IFERROR(IF(SEARCH(A10,物品!$H$54)&gt;0,1,0),0),IFERROR(IF(SEARCH(A10,物品!$H$55)&gt;0,1,0),0),IFERROR(IF(SEARCH(A10,物品!$H$56)&gt;0,1,0),0),IFERROR(IF(SEARCH(A10,物品!$H$57)&gt;0,1,0),0),IFERROR(IF(SEARCH(A10,物品!$H$58)&gt;0,1,0),0),IFERROR(IF(SEARCH(A10,物品!$H$59)&gt;0,1,0),0),IFERROR(IF(SEARCH(A10,物品!$H$60)&gt;0,1,0),0),IFERROR(IF(SEARCH(A10,物品!$H$61)&gt;0,1,0),0),IFERROR(IF(SEARCH(A10,物品!$H$62)&gt;0,1,0),0),IFERROR(IF(SEARCH(A10,物品!$H$63)&gt;0,1,0),0),IFERROR(IF(SEARCH(A10,物品!$H$64)&gt;0,1,0),0),IFERROR(IF(SEARCH(A10,物品!$H$65)&gt;0,1,0),0),IFERROR(IF(SEARCH(A10,物品!$H$66)&gt;0,1,0),0),IFERROR(IF(SEARCH(A10,物品!$H$67)&gt;0,1,0),0),IFERROR(IF(SEARCH(A10,物品!$H$68)&gt;0,1,0),0),IFERROR(IF(SEARCH(A10,物品!$H$69)&gt;0,1,0),0),IFERROR(IF(SEARCH(A10,物品!$H$70)&gt;0,1,0),0),IFERROR(IF(SEARCH(A10,物品!$H$71)&gt;0,1,0),0),IFERROR(IF(SEARCH(A10,物品!$H$72)&gt;0,1,0),0),IFERROR(IF(SEARCH(A10,物品!$H$73)&gt;0,1,0),0),IFERROR(IF(SEARCH(A10,物品!$H$74)&gt;0,1,0),0),IFERROR(IF(SEARCH(A10,物品!$H$75)&gt;0,1,0),0),IFERROR(IF(SEARCH(A10,物品!$H$76)&gt;0,1,0),0),IFERROR(IF(SEARCH(A10,物品!$H$77)&gt;0,1,0),0),IFERROR(IF(SEARCH(A10,物品!$H$78)&gt;0,1,0),0),IFERROR(IF(SEARCH(A10,物品!$H$79)&gt;0,1,0),0),IFERROR(IF(SEARCH(A10,物品!$H$80)&gt;0,1,0),0),IFERROR(IF(SEARCH(A10,物品!$H$81)&gt;0,1,0),0),IFERROR(IF(SEARCH(A10,物品!$H$82)&gt;0,1,0),0),IFERROR(IF(SEARCH(A10,物品!$H$83)&gt;0,1,0),0),IFERROR(IF(SEARCH(A10,物品!$H$84)&gt;0,1,0),0),IFERROR(IF(SEARCH(A10,物品!$H$85)&gt;0,1,0),0),IFERROR(IF(SEARCH(A10,物品!$H$86)&gt;0,1,0),0),IFERROR(IF(SEARCH(A10,物品!$H$87)&gt;0,1,0),0),IFERROR(IF(SEARCH(A10,物品!$H$88)&gt;0,1,0),0),IFERROR(IF(SEARCH(A10,物品!$H$89)&gt;0,1,0),0),IFERROR(IF(SEARCH(A10,物品!$H$90)&gt;0,1,0),0),IFERROR(IF(SEARCH(A10,物品!$H$91)&gt;0,1,0),0),IFERROR(IF(SEARCH(A10,物品!$H$92)&gt;0,1,0),0),IFERROR(IF(SEARCH(A10,物品!$H$93)&gt;0,1,0),0),IFERROR(IF(SEARCH(A10,物品!$H$94)&gt;0,1,0),0),IFERROR(IF(SEARCH(A10,物品!$H$95)&gt;0,1,0),0),IFERROR(IF(SEARCH(A10,物品!$H$96)&gt;0,1,0),0),IFERROR(IF(SEARCH(A10,物品!$H$97)&gt;0,1,0),0),IFERROR(IF(SEARCH(A10,物品!$H$98)&gt;0,1,0),0),IFERROR(IF(SEARCH(A10,物品!$H$99)&gt;0,1,0),0),IFERROR(IF(SEARCH(A10,物品!$H$100)&gt;0,1,0),0),IFERROR(IF(SEARCH(A10,物品!$H$101)&gt;0,1,0),0),IFERROR(IF(SEARCH(A10,物品!$H$102)&gt;0,1,0),0),IFERROR(IF(SEARCH(A10,物品!$H$103)&gt;0,1,0),0))</x:f>
        <x:v>2</x:v>
      </x:c>
      <x:c r="J10" s="10" t="n">
        <x:f aca="0">SUMPRODUCT(--(建筑配方!$G$4:$L$118=A10))</x:f>
        <x:v>1</x:v>
      </x:c>
      <x:c r="K10" s="6" t="s">
        <x:v>129</x:v>
      </x:c>
    </x:row>
    <x:row r="13" ht="15" hidden="0">
      <x:c r="A13" s="3" t="s">
        <x:v>130</x:v>
      </x:c>
    </x:row>
    <x:row r="14" ht="15" hidden="0">
      <x:c r="A14" s="2" t="s">
        <x:v>131</x:v>
      </x:c>
    </x:row>
    <x:row r="15" ht="36" hidden="0" customHeight="1">
      <x:c r="A15" s="5" t="s">
        <x:v>132</x:v>
      </x:c>
      <x:c r="B15" s="5" t="s">
        <x:v>74</x:v>
      </x:c>
      <x:c r="C15" s="5" t="s">
        <x:v>82</x:v>
      </x:c>
      <x:c r="D15" s="5" t="s">
        <x:v>133</x:v>
      </x:c>
      <x:c r="E15" s="5" t="s">
        <x:v>134</x:v>
      </x:c>
      <x:c r="F15" s="5" t="s">
        <x:v>135</x:v>
      </x:c>
    </x:row>
    <x:row r="16" ht="15" hidden="0">
      <x:c r="A16" s="6" t="s">
        <x:v>136</x:v>
      </x:c>
      <x:c r="B16" s="17" t="s">
        <x:v>137</x:v>
      </x:c>
      <x:c r="C16" s="10" t="n">
        <x:f aca="0">SUMPRODUCT(--(建筑配方!$G$4:$L$118=A16))</x:f>
        <x:v>10</x:v>
      </x:c>
      <x:c r="D16" s="10" t="n">
        <x:f aca="0">SUMPRODUCT((建筑配方!$S$4:$S$118="日常用品")*((建筑配方!$G$4:$G$118=A16)+(建筑配方!$H$4:$H$118=A16)+(建筑配方!$I$4:$I$118=A16)+(建筑配方!$J$4:$J$118=A16)+(建筑配方!$K$4:$K$118=A16)+(建筑配方!$L$4:$L$118=A16)))</x:f>
        <x:v>4</x:v>
      </x:c>
      <x:c r="E16" s="10" t="n">
        <x:f aca="0">SUMPRODUCT(((建筑配方!$S$4:$S$118="零部件")+(建筑配方!$S$4:$S$118="总成"))*((建筑配方!$G$4:$G$118=A16)+(建筑配方!$H$4:$H$118=A16)+(建筑配方!$I$4:$I$118=A16)+(建筑配方!$J$4:$J$118=A16)+(建筑配方!$K$4:$K$118=A16)+(建筑配方!$L$4:$L$118=A16)))</x:f>
        <x:v>3</x:v>
      </x:c>
      <x:c r="F16" s="10" t="n">
        <x:f aca="0">SUMPRODUCT((建筑配方!$S$4:$S$118="大件")*((建筑配方!$G$4:$G$118=A16)+(建筑配方!$H$4:$H$118=A16)+(建筑配方!$I$4:$I$118=A16)+(建筑配方!$J$4:$J$118=A16)+(建筑配方!$K$4:$K$118=A16)+(建筑配方!$L$4:$L$118=A16)))</x:f>
        <x:v>0</x:v>
      </x:c>
    </x:row>
    <x:row r="17" ht="15" hidden="0">
      <x:c r="A17" s="6" t="s">
        <x:v>138</x:v>
      </x:c>
      <x:c r="B17" s="17" t="s">
        <x:v>137</x:v>
      </x:c>
      <x:c r="C17" s="10" t="n">
        <x:f aca="0">SUMPRODUCT(--(建筑配方!$G$4:$L$118=A17))</x:f>
        <x:v>11</x:v>
      </x:c>
      <x:c r="D17" s="10" t="n">
        <x:f aca="0">SUMPRODUCT((建筑配方!$S$4:$S$118="日常用品")*((建筑配方!$G$4:$G$118=A17)+(建筑配方!$H$4:$H$118=A17)+(建筑配方!$I$4:$I$118=A17)+(建筑配方!$J$4:$J$118=A17)+(建筑配方!$K$4:$K$118=A17)+(建筑配方!$L$4:$L$118=A17)))</x:f>
        <x:v>5</x:v>
      </x:c>
      <x:c r="E17" s="10" t="n">
        <x:f aca="0">SUMPRODUCT(((建筑配方!$S$4:$S$118="零部件")+(建筑配方!$S$4:$S$118="总成"))*((建筑配方!$G$4:$G$118=A17)+(建筑配方!$H$4:$H$118=A17)+(建筑配方!$I$4:$I$118=A17)+(建筑配方!$J$4:$J$118=A17)+(建筑配方!$K$4:$K$118=A17)+(建筑配方!$L$4:$L$118=A17)))</x:f>
        <x:v>5</x:v>
      </x:c>
      <x:c r="F17" s="10" t="n">
        <x:f aca="0">SUMPRODUCT((建筑配方!$S$4:$S$118="大件")*((建筑配方!$G$4:$G$118=A17)+(建筑配方!$H$4:$H$118=A17)+(建筑配方!$I$4:$I$118=A17)+(建筑配方!$J$4:$J$118=A17)+(建筑配方!$K$4:$K$118=A17)+(建筑配方!$L$4:$L$118=A17)))</x:f>
        <x:v>1</x:v>
      </x:c>
    </x:row>
    <x:row r="18" ht="15" hidden="0">
      <x:c r="A18" s="6" t="s">
        <x:v>139</x:v>
      </x:c>
      <x:c r="B18" s="17" t="s">
        <x:v>137</x:v>
      </x:c>
      <x:c r="C18" s="10" t="n">
        <x:f aca="0">SUMPRODUCT(--(建筑配方!$G$4:$L$118=A18))</x:f>
        <x:v>11</x:v>
      </x:c>
      <x:c r="D18" s="10" t="n">
        <x:f aca="0">SUMPRODUCT((建筑配方!$S$4:$S$118="日常用品")*((建筑配方!$G$4:$G$118=A18)+(建筑配方!$H$4:$H$118=A18)+(建筑配方!$I$4:$I$118=A18)+(建筑配方!$J$4:$J$118=A18)+(建筑配方!$K$4:$K$118=A18)+(建筑配方!$L$4:$L$118=A18)))</x:f>
        <x:v>1</x:v>
      </x:c>
      <x:c r="E18" s="10" t="n">
        <x:f aca="0">SUMPRODUCT(((建筑配方!$S$4:$S$118="零部件")+(建筑配方!$S$4:$S$118="总成"))*((建筑配方!$G$4:$G$118=A18)+(建筑配方!$H$4:$H$118=A18)+(建筑配方!$I$4:$I$118=A18)+(建筑配方!$J$4:$J$118=A18)+(建筑配方!$K$4:$K$118=A18)+(建筑配方!$L$4:$L$118=A18)))</x:f>
        <x:v>10</x:v>
      </x:c>
      <x:c r="F18" s="10" t="n">
        <x:f aca="0">SUMPRODUCT((建筑配方!$S$4:$S$118="大件")*((建筑配方!$G$4:$G$118=A18)+(建筑配方!$H$4:$H$118=A18)+(建筑配方!$I$4:$I$118=A18)+(建筑配方!$J$4:$J$118=A18)+(建筑配方!$K$4:$K$118=A18)+(建筑配方!$L$4:$L$118=A18)))</x:f>
        <x:v>0</x:v>
      </x:c>
    </x:row>
    <x:row r="19" ht="15" hidden="0">
      <x:c r="A19" s="6" t="s">
        <x:v>140</x:v>
      </x:c>
      <x:c r="B19" s="17" t="s">
        <x:v>137</x:v>
      </x:c>
      <x:c r="C19" s="10" t="n">
        <x:f aca="0">SUMPRODUCT(--(建筑配方!$G$4:$L$118=A19))</x:f>
        <x:v>4</x:v>
      </x:c>
      <x:c r="D19" s="10" t="n">
        <x:f aca="0">SUMPRODUCT((建筑配方!$S$4:$S$118="日常用品")*((建筑配方!$G$4:$G$118=A19)+(建筑配方!$H$4:$H$118=A19)+(建筑配方!$I$4:$I$118=A19)+(建筑配方!$J$4:$J$118=A19)+(建筑配方!$K$4:$K$118=A19)+(建筑配方!$L$4:$L$118=A19)))</x:f>
        <x:v>0</x:v>
      </x:c>
      <x:c r="E19" s="10" t="n">
        <x:f aca="0">SUMPRODUCT(((建筑配方!$S$4:$S$118="零部件")+(建筑配方!$S$4:$S$118="总成"))*((建筑配方!$G$4:$G$118=A19)+(建筑配方!$H$4:$H$118=A19)+(建筑配方!$I$4:$I$118=A19)+(建筑配方!$J$4:$J$118=A19)+(建筑配方!$K$4:$K$118=A19)+(建筑配方!$L$4:$L$118=A19)))</x:f>
        <x:v>1</x:v>
      </x:c>
      <x:c r="F19" s="10" t="n">
        <x:f aca="0">SUMPRODUCT((建筑配方!$S$4:$S$118="大件")*((建筑配方!$G$4:$G$118=A19)+(建筑配方!$H$4:$H$118=A19)+(建筑配方!$I$4:$I$118=A19)+(建筑配方!$J$4:$J$118=A19)+(建筑配方!$K$4:$K$118=A19)+(建筑配方!$L$4:$L$118=A19)))</x:f>
        <x:v>0</x:v>
      </x:c>
    </x:row>
    <x:row r="20" ht="15" hidden="0">
      <x:c r="A20" s="6" t="s">
        <x:v>141</x:v>
      </x:c>
      <x:c r="B20" s="17" t="s">
        <x:v>137</x:v>
      </x:c>
      <x:c r="C20" s="10" t="n">
        <x:f aca="0">SUMPRODUCT(--(建筑配方!$G$4:$L$118=A20))</x:f>
        <x:v>4</x:v>
      </x:c>
      <x:c r="D20" s="10" t="n">
        <x:f aca="0">SUMPRODUCT((建筑配方!$S$4:$S$118="日常用品")*((建筑配方!$G$4:$G$118=A20)+(建筑配方!$H$4:$H$118=A20)+(建筑配方!$I$4:$I$118=A20)+(建筑配方!$J$4:$J$118=A20)+(建筑配方!$K$4:$K$118=A20)+(建筑配方!$L$4:$L$118=A20)))</x:f>
        <x:v>1</x:v>
      </x:c>
      <x:c r="E20" s="10" t="n">
        <x:f aca="0">SUMPRODUCT(((建筑配方!$S$4:$S$118="零部件")+(建筑配方!$S$4:$S$118="总成"))*((建筑配方!$G$4:$G$118=A20)+(建筑配方!$H$4:$H$118=A20)+(建筑配方!$I$4:$I$118=A20)+(建筑配方!$J$4:$J$118=A20)+(建筑配方!$K$4:$K$118=A20)+(建筑配方!$L$4:$L$118=A20)))</x:f>
        <x:v>3</x:v>
      </x:c>
      <x:c r="F20" s="10" t="n">
        <x:f aca="0">SUMPRODUCT((建筑配方!$S$4:$S$118="大件")*((建筑配方!$G$4:$G$118=A20)+(建筑配方!$H$4:$H$118=A20)+(建筑配方!$I$4:$I$118=A20)+(建筑配方!$J$4:$J$118=A20)+(建筑配方!$K$4:$K$118=A20)+(建筑配方!$L$4:$L$118=A20)))</x:f>
        <x:v>0</x:v>
      </x:c>
    </x:row>
    <x:row r="21" ht="15" hidden="0">
      <x:c r="A21" s="6" t="s">
        <x:v>142</x:v>
      </x:c>
      <x:c r="B21" s="17" t="s">
        <x:v>137</x:v>
      </x:c>
      <x:c r="C21" s="10" t="n">
        <x:f aca="0">SUMPRODUCT(--(建筑配方!$G$4:$L$118=A21))</x:f>
        <x:v>7</x:v>
      </x:c>
      <x:c r="D21" s="10" t="n">
        <x:f aca="0">SUMPRODUCT((建筑配方!$S$4:$S$118="日常用品")*((建筑配方!$G$4:$G$118=A21)+(建筑配方!$H$4:$H$118=A21)+(建筑配方!$I$4:$I$118=A21)+(建筑配方!$J$4:$J$118=A21)+(建筑配方!$K$4:$K$118=A21)+(建筑配方!$L$4:$L$118=A21)))</x:f>
        <x:v>6</x:v>
      </x:c>
      <x:c r="E21" s="10" t="n">
        <x:f aca="0">SUMPRODUCT(((建筑配方!$S$4:$S$118="零部件")+(建筑配方!$S$4:$S$118="总成"))*((建筑配方!$G$4:$G$118=A21)+(建筑配方!$H$4:$H$118=A21)+(建筑配方!$I$4:$I$118=A21)+(建筑配方!$J$4:$J$118=A21)+(建筑配方!$K$4:$K$118=A21)+(建筑配方!$L$4:$L$118=A21)))</x:f>
        <x:v>1</x:v>
      </x:c>
      <x:c r="F21" s="10" t="n">
        <x:f aca="0">SUMPRODUCT((建筑配方!$S$4:$S$118="大件")*((建筑配方!$G$4:$G$118=A21)+(建筑配方!$H$4:$H$118=A21)+(建筑配方!$I$4:$I$118=A21)+(建筑配方!$J$4:$J$118=A21)+(建筑配方!$K$4:$K$118=A21)+(建筑配方!$L$4:$L$118=A21)))</x:f>
        <x:v>0</x:v>
      </x:c>
    </x:row>
    <x:row r="22" ht="15" hidden="0">
      <x:c r="A22" s="6" t="s">
        <x:v>143</x:v>
      </x:c>
      <x:c r="B22" s="17" t="s">
        <x:v>137</x:v>
      </x:c>
      <x:c r="C22" s="10" t="n">
        <x:f aca="0">SUMPRODUCT(--(建筑配方!$G$4:$L$118=A22))</x:f>
        <x:v>8</x:v>
      </x:c>
      <x:c r="D22" s="10" t="n">
        <x:f aca="0">SUMPRODUCT((建筑配方!$S$4:$S$118="日常用品")*((建筑配方!$G$4:$G$118=A22)+(建筑配方!$H$4:$H$118=A22)+(建筑配方!$I$4:$I$118=A22)+(建筑配方!$J$4:$J$118=A22)+(建筑配方!$K$4:$K$118=A22)+(建筑配方!$L$4:$L$118=A22)))</x:f>
        <x:v>2</x:v>
      </x:c>
      <x:c r="E22" s="10" t="n">
        <x:f aca="0">SUMPRODUCT(((建筑配方!$S$4:$S$118="零部件")+(建筑配方!$S$4:$S$118="总成"))*((建筑配方!$G$4:$G$118=A22)+(建筑配方!$H$4:$H$118=A22)+(建筑配方!$I$4:$I$118=A22)+(建筑配方!$J$4:$J$118=A22)+(建筑配方!$K$4:$K$118=A22)+(建筑配方!$L$4:$L$118=A22)))</x:f>
        <x:v>5</x:v>
      </x:c>
      <x:c r="F22" s="10" t="n">
        <x:f aca="0">SUMPRODUCT((建筑配方!$S$4:$S$118="大件")*((建筑配方!$G$4:$G$118=A22)+(建筑配方!$H$4:$H$118=A22)+(建筑配方!$I$4:$I$118=A22)+(建筑配方!$J$4:$J$118=A22)+(建筑配方!$K$4:$K$118=A22)+(建筑配方!$L$4:$L$118=A22)))</x:f>
        <x:v>1</x:v>
      </x:c>
    </x:row>
    <x:row r="23" ht="15" hidden="0">
      <x:c r="A23" s="6" t="s">
        <x:v>144</x:v>
      </x:c>
      <x:c r="B23" s="17" t="s">
        <x:v>137</x:v>
      </x:c>
      <x:c r="C23" s="10" t="n">
        <x:f aca="0">SUMPRODUCT(--(建筑配方!$G$4:$L$118=A23))</x:f>
        <x:v>3</x:v>
      </x:c>
      <x:c r="D23" s="10" t="n">
        <x:f aca="0">SUMPRODUCT((建筑配方!$S$4:$S$118="日常用品")*((建筑配方!$G$4:$G$118=A23)+(建筑配方!$H$4:$H$118=A23)+(建筑配方!$I$4:$I$118=A23)+(建筑配方!$J$4:$J$118=A23)+(建筑配方!$K$4:$K$118=A23)+(建筑配方!$L$4:$L$118=A23)))</x:f>
        <x:v>2</x:v>
      </x:c>
      <x:c r="E23" s="10" t="n">
        <x:f aca="0">SUMPRODUCT(((建筑配方!$S$4:$S$118="零部件")+(建筑配方!$S$4:$S$118="总成"))*((建筑配方!$G$4:$G$118=A23)+(建筑配方!$H$4:$H$118=A23)+(建筑配方!$I$4:$I$118=A23)+(建筑配方!$J$4:$J$118=A23)+(建筑配方!$K$4:$K$118=A23)+(建筑配方!$L$4:$L$118=A23)))</x:f>
        <x:v>1</x:v>
      </x:c>
      <x:c r="F23" s="10" t="n">
        <x:f aca="0">SUMPRODUCT((建筑配方!$S$4:$S$118="大件")*((建筑配方!$G$4:$G$118=A23)+(建筑配方!$H$4:$H$118=A23)+(建筑配方!$I$4:$I$118=A23)+(建筑配方!$J$4:$J$118=A23)+(建筑配方!$K$4:$K$118=A23)+(建筑配方!$L$4:$L$118=A23)))</x:f>
        <x:v>0</x:v>
      </x:c>
    </x:row>
    <x:row r="24" ht="15" hidden="0">
      <x:c r="A24" s="6" t="s">
        <x:v>145</x:v>
      </x:c>
      <x:c r="B24" s="18" t="s">
        <x:v>146</x:v>
      </x:c>
      <x:c r="C24" s="10" t="n">
        <x:f aca="0">SUMPRODUCT(--(建筑配方!$G$4:$L$118=A24))</x:f>
        <x:v>6</x:v>
      </x:c>
      <x:c r="D24" s="10" t="n">
        <x:f aca="0">SUMPRODUCT((建筑配方!$S$4:$S$118="日常用品")*((建筑配方!$G$4:$G$118=A24)+(建筑配方!$H$4:$H$118=A24)+(建筑配方!$I$4:$I$118=A24)+(建筑配方!$J$4:$J$118=A24)+(建筑配方!$K$4:$K$118=A24)+(建筑配方!$L$4:$L$118=A24)))</x:f>
        <x:v>1</x:v>
      </x:c>
      <x:c r="E24" s="10" t="n">
        <x:f aca="0">SUMPRODUCT(((建筑配方!$S$4:$S$118="零部件")+(建筑配方!$S$4:$S$118="总成"))*((建筑配方!$G$4:$G$118=A24)+(建筑配方!$H$4:$H$118=A24)+(建筑配方!$I$4:$I$118=A24)+(建筑配方!$J$4:$J$118=A24)+(建筑配方!$K$4:$K$118=A24)+(建筑配方!$L$4:$L$118=A24)))</x:f>
        <x:v>3</x:v>
      </x:c>
      <x:c r="F24" s="10" t="n">
        <x:f aca="0">SUMPRODUCT((建筑配方!$S$4:$S$118="大件")*((建筑配方!$G$4:$G$118=A24)+(建筑配方!$H$4:$H$118=A24)+(建筑配方!$I$4:$I$118=A24)+(建筑配方!$J$4:$J$118=A24)+(建筑配方!$K$4:$K$118=A24)+(建筑配方!$L$4:$L$118=A24)))</x:f>
        <x:v>1</x:v>
      </x:c>
    </x:row>
    <x:row r="25" ht="15" hidden="0">
      <x:c r="A25" s="6" t="str">
        <x:v>机械零件</x:v>
      </x:c>
      <x:c r="B25" s="18" t="s">
        <x:v>146</x:v>
      </x:c>
      <x:c r="C25" s="10" t="n">
        <x:f aca="0">SUMPRODUCT(--(建筑配方!$G$4:$L$118=A25))</x:f>
        <x:v>4</x:v>
      </x:c>
      <x:c r="D25" s="10" t="n">
        <x:f aca="0">SUMPRODUCT((建筑配方!$S$4:$S$118="日常用品")*((建筑配方!$G$4:$G$118=A25)+(建筑配方!$H$4:$H$118=A25)+(建筑配方!$I$4:$I$118=A25)+(建筑配方!$J$4:$J$118=A25)+(建筑配方!$K$4:$K$118=A25)+(建筑配方!$L$4:$L$118=A25)))</x:f>
        <x:v>1</x:v>
      </x:c>
      <x:c r="E25" s="10" t="n">
        <x:f aca="0">SUMPRODUCT(((建筑配方!$S$4:$S$118="零部件")+(建筑配方!$S$4:$S$118="总成"))*((建筑配方!$G$4:$G$118=A25)+(建筑配方!$H$4:$H$118=A25)+(建筑配方!$I$4:$I$118=A25)+(建筑配方!$J$4:$J$118=A25)+(建筑配方!$K$4:$K$118=A25)+(建筑配方!$L$4:$L$118=A25)))</x:f>
        <x:v>3</x:v>
      </x:c>
      <x:c r="F25" s="10" t="n">
        <x:f aca="0">SUMPRODUCT((建筑配方!$S$4:$S$118="大件")*((建筑配方!$G$4:$G$118=A25)+(建筑配方!$H$4:$H$118=A25)+(建筑配方!$I$4:$I$118=A25)+(建筑配方!$J$4:$J$118=A25)+(建筑配方!$K$4:$K$118=A25)+(建筑配方!$L$4:$L$118=A25)))</x:f>
        <x:v>0</x:v>
      </x:c>
    </x:row>
    <x:row r="26" ht="15" hidden="0">
      <x:c r="A26" s="6" t="s">
        <x:v>147</x:v>
      </x:c>
      <x:c r="B26" s="17" t="s">
        <x:v>137</x:v>
      </x:c>
      <x:c r="C26" s="10" t="n">
        <x:f aca="0">SUMPRODUCT(--(建筑配方!$G$4:$L$118=A26))</x:f>
        <x:v>2</x:v>
      </x:c>
      <x:c r="D26" s="10" t="n">
        <x:f aca="0">SUMPRODUCT((建筑配方!$S$4:$S$118="日常用品")*((建筑配方!$G$4:$G$118=A26)+(建筑配方!$H$4:$H$118=A26)+(建筑配方!$I$4:$I$118=A26)+(建筑配方!$J$4:$J$118=A26)+(建筑配方!$K$4:$K$118=A26)+(建筑配方!$L$4:$L$118=A26)))</x:f>
        <x:v>0</x:v>
      </x:c>
      <x:c r="E26" s="10" t="n">
        <x:f aca="0">SUMPRODUCT(((建筑配方!$S$4:$S$118="零部件")+(建筑配方!$S$4:$S$118="总成"))*((建筑配方!$G$4:$G$118=A26)+(建筑配方!$H$4:$H$118=A26)+(建筑配方!$I$4:$I$118=A26)+(建筑配方!$J$4:$J$118=A26)+(建筑配方!$K$4:$K$118=A26)+(建筑配方!$L$4:$L$118=A26)))</x:f>
        <x:v>2</x:v>
      </x:c>
      <x:c r="F26" s="10" t="n">
        <x:f aca="0">SUMPRODUCT((建筑配方!$S$4:$S$118="大件")*((建筑配方!$G$4:$G$118=A26)+(建筑配方!$H$4:$H$118=A26)+(建筑配方!$I$4:$I$118=A26)+(建筑配方!$J$4:$J$118=A26)+(建筑配方!$K$4:$K$118=A26)+(建筑配方!$L$4:$L$118=A26)))</x:f>
        <x:v>0</x:v>
      </x:c>
    </x:row>
    <x:row r="27" ht="15" hidden="0">
      <x:c r="A27" s="6" t="s">
        <x:v>148</x:v>
      </x:c>
      <x:c r="B27" s="17" t="s">
        <x:v>137</x:v>
      </x:c>
      <x:c r="C27" s="10" t="n">
        <x:f aca="0">SUMPRODUCT(--(建筑配方!$G$4:$L$118=A27))</x:f>
        <x:v>7</x:v>
      </x:c>
      <x:c r="D27" s="10" t="n">
        <x:f aca="0">SUMPRODUCT((建筑配方!$S$4:$S$118="日常用品")*((建筑配方!$G$4:$G$118=A27)+(建筑配方!$H$4:$H$118=A27)+(建筑配方!$I$4:$I$118=A27)+(建筑配方!$J$4:$J$118=A27)+(建筑配方!$K$4:$K$118=A27)+(建筑配方!$L$4:$L$118=A27)))</x:f>
        <x:v>2</x:v>
      </x:c>
      <x:c r="E27" s="10" t="n">
        <x:f aca="0">SUMPRODUCT(((建筑配方!$S$4:$S$118="零部件")+(建筑配方!$S$4:$S$118="总成"))*((建筑配方!$G$4:$G$118=A27)+(建筑配方!$H$4:$H$118=A27)+(建筑配方!$I$4:$I$118=A27)+(建筑配方!$J$4:$J$118=A27)+(建筑配方!$K$4:$K$118=A27)+(建筑配方!$L$4:$L$118=A27)))</x:f>
        <x:v>2</x:v>
      </x:c>
      <x:c r="F27" s="10" t="n">
        <x:f aca="0">SUMPRODUCT((建筑配方!$S$4:$S$118="大件")*((建筑配方!$G$4:$G$118=A27)+(建筑配方!$H$4:$H$118=A27)+(建筑配方!$I$4:$I$118=A27)+(建筑配方!$J$4:$J$118=A27)+(建筑配方!$K$4:$K$118=A27)+(建筑配方!$L$4:$L$118=A27)))</x:f>
        <x:v>1</x:v>
      </x:c>
    </x:row>
    <x:row r="28" ht="15" hidden="0">
      <x:c r="A28" s="6" t="s">
        <x:v>149</x:v>
      </x:c>
      <x:c r="B28" s="17" t="s">
        <x:v>137</x:v>
      </x:c>
      <x:c r="C28" s="10" t="n">
        <x:f aca="0">SUMPRODUCT(--(建筑配方!$G$4:$L$118=A28))</x:f>
        <x:v>4</x:v>
      </x:c>
      <x:c r="D28" s="10" t="n">
        <x:f aca="0">SUMPRODUCT((建筑配方!$S$4:$S$118="日常用品")*((建筑配方!$G$4:$G$118=A28)+(建筑配方!$H$4:$H$118=A28)+(建筑配方!$I$4:$I$118=A28)+(建筑配方!$J$4:$J$118=A28)+(建筑配方!$K$4:$K$118=A28)+(建筑配方!$L$4:$L$118=A28)))</x:f>
        <x:v>0</x:v>
      </x:c>
      <x:c r="E28" s="10" t="n">
        <x:f aca="0">SUMPRODUCT(((建筑配方!$S$4:$S$118="零部件")+(建筑配方!$S$4:$S$118="总成"))*((建筑配方!$G$4:$G$118=A28)+(建筑配方!$H$4:$H$118=A28)+(建筑配方!$I$4:$I$118=A28)+(建筑配方!$J$4:$J$118=A28)+(建筑配方!$K$4:$K$118=A28)+(建筑配方!$L$4:$L$118=A28)))</x:f>
        <x:v>1</x:v>
      </x:c>
      <x:c r="F28" s="10" t="n">
        <x:f aca="0">SUMPRODUCT((建筑配方!$S$4:$S$118="大件")*((建筑配方!$G$4:$G$118=A28)+(建筑配方!$H$4:$H$118=A28)+(建筑配方!$I$4:$I$118=A28)+(建筑配方!$J$4:$J$118=A28)+(建筑配方!$K$4:$K$118=A28)+(建筑配方!$L$4:$L$118=A28)))</x:f>
        <x:v>2</x:v>
      </x:c>
    </x:row>
    <x:row r="29" ht="15" hidden="0">
      <x:c r="A29" s="6" t="s">
        <x:v>150</x:v>
      </x:c>
      <x:c r="B29" s="18" t="s">
        <x:v>146</x:v>
      </x:c>
      <x:c r="C29" s="10" t="n">
        <x:f aca="0">SUMPRODUCT(--(建筑配方!$G$4:$L$118=A29))</x:f>
        <x:v>4</x:v>
      </x:c>
      <x:c r="D29" s="10" t="n">
        <x:f aca="0">SUMPRODUCT((建筑配方!$S$4:$S$118="日常用品")*((建筑配方!$G$4:$G$118=A29)+(建筑配方!$H$4:$H$118=A29)+(建筑配方!$I$4:$I$118=A29)+(建筑配方!$J$4:$J$118=A29)+(建筑配方!$K$4:$K$118=A29)+(建筑配方!$L$4:$L$118=A29)))</x:f>
        <x:v>0</x:v>
      </x:c>
      <x:c r="E29" s="10" t="n">
        <x:f aca="0">SUMPRODUCT(((建筑配方!$S$4:$S$118="零部件")+(建筑配方!$S$4:$S$118="总成"))*((建筑配方!$G$4:$G$118=A29)+(建筑配方!$H$4:$H$118=A29)+(建筑配方!$I$4:$I$118=A29)+(建筑配方!$J$4:$J$118=A29)+(建筑配方!$K$4:$K$118=A29)+(建筑配方!$L$4:$L$118=A29)))</x:f>
        <x:v>1</x:v>
      </x:c>
      <x:c r="F29" s="10" t="n">
        <x:f aca="0">SUMPRODUCT((建筑配方!$S$4:$S$118="大件")*((建筑配方!$G$4:$G$118=A29)+(建筑配方!$H$4:$H$118=A29)+(建筑配方!$I$4:$I$118=A29)+(建筑配方!$J$4:$J$118=A29)+(建筑配方!$K$4:$K$118=A29)+(建筑配方!$L$4:$L$118=A29)))</x:f>
        <x:v>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15" hidden="0" customWidth="1"/>
    <x:col min="4" max="4" width="30" hidden="0" customWidth="1"/>
    <x:col min="5" max="5" width="15" hidden="0" customWidth="1"/>
    <x:col min="6" max="6" width="74" hidden="0" customWidth="1"/>
  </x:cols>
  <x:sheetData>
    <x:row r="1" ht="35" customHeight="1">
      <x:c r="A1" s="93" t="str">
        <x:v>产业链物品合并记录 · 原表 v2 → 精简版</x:v>
      </x:c>
      <x:c r="B1" s="93"/>
      <x:c r="C1" s="93"/>
      <x:c r="D1" s="93"/>
      <x:c r="E1" s="93"/>
      <x:c r="F1" s="93"/>
    </x:row>
    <x:row r="2" ht="28" customHeight="1">
      <x:c r="A2" s="97" t="str">
        <x:v>15组合并，117→100 种物品；129→115 条配方。保留原物品 ID / 配方 ID，空缺编号表示原条目已经合并或取消。</x:v>
      </x:c>
      <x:c r="B2" s="97"/>
      <x:c r="C2" s="97"/>
      <x:c r="D2" s="97"/>
      <x:c r="E2" s="97"/>
      <x:c r="F2" s="97"/>
    </x:row>
    <x:row r="4" ht="27" customHeight="1">
      <x:c r="A4" s="101" t="str">
        <x:v>合并后物品</x:v>
      </x:c>
      <x:c r="B4" s="101" t="str">
        <x:v>原物品</x:v>
      </x:c>
      <x:c r="C4" s="101" t="str">
        <x:v>保留原ID</x:v>
      </x:c>
      <x:c r="D4" s="101" t="str">
        <x:v>旧ID</x:v>
      </x:c>
      <x:c r="E4" s="101" t="str">
        <x:v>旧品减少数</x:v>
      </x:c>
      <x:c r="F4" s="101" t="str">
        <x:v>处理说明</x:v>
      </x:c>
    </x:row>
    <x:row r="5" ht="31" customHeight="1">
      <x:c r="A5" s="108" t="str">
        <x:v>管材</x:v>
      </x:c>
      <x:c r="B5" s="106" t="str">
        <x:v>钢管 + 给排水管</x:v>
      </x:c>
      <x:c r="C5" s="106" t="str">
        <x:v>I039</x:v>
      </x:c>
      <x:c r="D5" s="106" t="str">
        <x:v>I039、I060</x:v>
      </x:c>
      <x:c r="E5" s="106" t="n">
        <x:v>1</x:v>
      </x:c>
      <x:c r="F5" s="106" t="str">
        <x:v>保留钢制、塑料制两条替代生产路线；取消钢管→给排水管二次加工。</x:v>
      </x:c>
    </x:row>
    <x:row r="6" ht="31" customHeight="1">
      <x:c r="A6" s="108" t="str">
        <x:v>机械零件</x:v>
      </x:c>
      <x:c r="B6" s="106" t="str">
        <x:v>轴承 + 传动件</x:v>
      </x:c>
      <x:c r="C6" s="106" t="str">
        <x:v>I040</x:v>
      </x:c>
      <x:c r="D6" s="106" t="str">
        <x:v>I040、I041</x:v>
      </x:c>
      <x:c r="E6" s="106" t="n">
        <x:v>1</x:v>
      </x:c>
      <x:c r="F6" s="106" t="str">
        <x:v>采用一条通用机加工配方，取消同功能的第二条机械件配方。</x:v>
      </x:c>
    </x:row>
    <x:row r="7" ht="31" customHeight="1">
      <x:c r="A7" s="108" t="str">
        <x:v>铜线</x:v>
      </x:c>
      <x:c r="B7" s="106" t="str">
        <x:v>铜线 + 电线</x:v>
      </x:c>
      <x:c r="C7" s="106" t="str">
        <x:v>I025</x:v>
      </x:c>
      <x:c r="D7" s="106" t="str">
        <x:v>I025、I053</x:v>
      </x:c>
      <x:c r="E7" s="106" t="n">
        <x:v>1</x:v>
      </x:c>
      <x:c r="F7" s="106" t="str">
        <x:v>取消铜线→电线中间环节；下游直接消耗铜线。</x:v>
      </x:c>
    </x:row>
    <x:row r="8" ht="31" customHeight="1">
      <x:c r="A8" s="108" t="str">
        <x:v>钢材</x:v>
      </x:c>
      <x:c r="B8" s="106" t="str">
        <x:v>生铁 + 钢材</x:v>
      </x:c>
      <x:c r="C8" s="106" t="str">
        <x:v>I024</x:v>
      </x:c>
      <x:c r="D8" s="106" t="str">
        <x:v>I023、I024</x:v>
      </x:c>
      <x:c r="E8" s="106" t="n">
        <x:v>1</x:v>
      </x:c>
      <x:c r="F8" s="106" t="str">
        <x:v>铁矿+煤直接炼钢，取消生铁→钢材二次加工。</x:v>
      </x:c>
    </x:row>
    <x:row r="9" ht="31" customHeight="1">
      <x:c r="A9" s="108" t="str">
        <x:v>芯片</x:v>
      </x:c>
      <x:c r="B9" s="106" t="str">
        <x:v>硅 + 芯片</x:v>
      </x:c>
      <x:c r="C9" s="106" t="str">
        <x:v>I050</x:v>
      </x:c>
      <x:c r="D9" s="106" t="str">
        <x:v>I037、I050</x:v>
      </x:c>
      <x:c r="E9" s="106" t="n">
        <x:v>1</x:v>
      </x:c>
      <x:c r="F9" s="106" t="str">
        <x:v>硅砂+铜线直接制芯片，取消单独的硅冶炼。</x:v>
      </x:c>
    </x:row>
    <x:row r="10" ht="31" customHeight="1">
      <x:c r="A10" s="108" t="str">
        <x:v>屋顶</x:v>
      </x:c>
      <x:c r="B10" s="106" t="str">
        <x:v>屋架 + 屋顶</x:v>
      </x:c>
      <x:c r="C10" s="106" t="str">
        <x:v>I065</x:v>
      </x:c>
      <x:c r="D10" s="106" t="str">
        <x:v>I056、I065</x:v>
      </x:c>
      <x:c r="E10" s="106" t="n">
        <x:v>1</x:v>
      </x:c>
      <x:c r="F10" s="106" t="str">
        <x:v>木板+紧固件+屋瓦直接制作屋顶，取消屋架→屋顶。</x:v>
      </x:c>
    </x:row>
    <x:row r="11" ht="31" customHeight="1">
      <x:c r="A11" s="108" t="str">
        <x:v>墙体</x:v>
      </x:c>
      <x:c r="B11" s="106" t="str">
        <x:v>砖 + 墙体</x:v>
      </x:c>
      <x:c r="C11" s="106" t="str">
        <x:v>I064</x:v>
      </x:c>
      <x:c r="D11" s="106" t="str">
        <x:v>I018、I064</x:v>
      </x:c>
      <x:c r="E11" s="106" t="n">
        <x:v>1</x:v>
      </x:c>
      <x:c r="F11" s="106" t="str">
        <x:v>砂岩+燃料+水泥直接预制墙体，取消烧砖。</x:v>
      </x:c>
    </x:row>
    <x:row r="12" ht="31" customHeight="1">
      <x:c r="A12" s="108" t="str">
        <x:v>衣物</x:v>
      </x:c>
      <x:c r="B12" s="106" t="str">
        <x:v>布衣 + 成衣</x:v>
      </x:c>
      <x:c r="C12" s="106" t="str">
        <x:v>I083</x:v>
      </x:c>
      <x:c r="D12" s="106" t="str">
        <x:v>I083、I084</x:v>
      </x:c>
      <x:c r="E12" s="106" t="n">
        <x:v>1</x:v>
      </x:c>
      <x:c r="F12" s="106" t="str">
        <x:v>裁缝铺和成衣厂都产衣物，保留手工/工业化两条路线。</x:v>
      </x:c>
    </x:row>
    <x:row r="13" ht="31" customHeight="1">
      <x:c r="A13" s="108" t="str">
        <x:v>清洁用品</x:v>
      </x:c>
      <x:c r="B13" s="106" t="str">
        <x:v>肥皂 + 洗衣液</x:v>
      </x:c>
      <x:c r="C13" s="106" t="str">
        <x:v>I085</x:v>
      </x:c>
      <x:c r="D13" s="106" t="str">
        <x:v>I085、I086</x:v>
      </x:c>
      <x:c r="E13" s="106" t="n">
        <x:v>1</x:v>
      </x:c>
      <x:c r="F13" s="106" t="str">
        <x:v>只保留日化厂的一条制作配方，住宅、澡堂、洗衣机共用耗材。</x:v>
      </x:c>
    </x:row>
    <x:row r="14" ht="31" customHeight="1">
      <x:c r="A14" s="108" t="str">
        <x:v>金属外壳</x:v>
      </x:c>
      <x:c r="B14" s="106" t="str">
        <x:v>家电外壳 + 车身</x:v>
      </x:c>
      <x:c r="C14" s="106" t="str">
        <x:v>I059</x:v>
      </x:c>
      <x:c r="D14" s="106" t="str">
        <x:v>I059、I071</x:v>
      </x:c>
      <x:c r="E14" s="106" t="n">
        <x:v>1</x:v>
      </x:c>
      <x:c r="F14" s="106" t="str">
        <x:v>汽车与冰箱、洗衣机共用钣金产线，取消原汽车专属车身配方。</x:v>
      </x:c>
    </x:row>
    <x:row r="15" ht="31" customHeight="1">
      <x:c r="A15" s="108" t="str">
        <x:v>动力装置</x:v>
      </x:c>
      <x:c r="B15" s="106" t="str">
        <x:v>发动机 + 变速箱 + 动力总成</x:v>
      </x:c>
      <x:c r="C15" s="106" t="str">
        <x:v>I068</x:v>
      </x:c>
      <x:c r="D15" s="106" t="str">
        <x:v>I046、I047、I068</x:v>
      </x:c>
      <x:c r="E15" s="106" t="n">
        <x:v>2</x:v>
      </x:c>
      <x:c r="F15" s="106" t="str">
        <x:v>合并发动机、变速箱、动力总成三级为一条装配生产配方。</x:v>
      </x:c>
    </x:row>
    <x:row r="16" ht="31" customHeight="1">
      <x:c r="A16" s="108" t="str">
        <x:v>家电维修</x:v>
      </x:c>
      <x:c r="B16" s="106" t="str">
        <x:v>冰箱修理 + 洗衣机修理 + 电视机修理</x:v>
      </x:c>
      <x:c r="C16" s="106" t="str">
        <x:v>I108</x:v>
      </x:c>
      <x:c r="D16" s="106" t="str">
        <x:v>I108、I109、I110</x:v>
      </x:c>
      <x:c r="E16" s="106" t="n">
        <x:v>2</x:v>
      </x:c>
      <x:c r="F16" s="106" t="str">
        <x:v>同一个服务品；保留冰箱、洗衣机、电视机各自不同的维修用料。</x:v>
      </x:c>
    </x:row>
    <x:row r="17" ht="31" customHeight="1">
      <x:c r="A17" s="108" t="str">
        <x:v>医疗用品</x:v>
      </x:c>
      <x:c r="B17" s="106" t="str">
        <x:v>药品 + 急救包</x:v>
      </x:c>
      <x:c r="C17" s="106" t="str">
        <x:v>I087</x:v>
      </x:c>
      <x:c r="D17" s="106" t="str">
        <x:v>I087、I088</x:v>
      </x:c>
      <x:c r="E17" s="106" t="n">
        <x:v>1</x:v>
      </x:c>
      <x:c r="F17" s="106" t="str">
        <x:v>统一制药配方；诊疗只消耗一种医疗用品。</x:v>
      </x:c>
    </x:row>
    <x:row r="18" ht="31" customHeight="1">
      <x:c r="A18" s="108" t="str">
        <x:v>安全装备</x:v>
      </x:c>
      <x:c r="B18" s="106" t="str">
        <x:v>安全帽 + 劳保鞋</x:v>
      </x:c>
      <x:c r="C18" s="106" t="str">
        <x:v>I091</x:v>
      </x:c>
      <x:c r="D18" s="106" t="str">
        <x:v>I091、I092</x:v>
      </x:c>
      <x:c r="E18" s="106" t="n">
        <x:v>1</x:v>
      </x:c>
      <x:c r="F18" s="106" t="str">
        <x:v>合并两项重工业安全防护品，保留一条综合生产配方。</x:v>
      </x:c>
    </x:row>
    <x:row r="19" ht="31" customHeight="1">
      <x:c r="A19" s="108" t="str">
        <x:v>劳保用品</x:v>
      </x:c>
      <x:c r="B19" s="106" t="str">
        <x:v>口罩 + 手套</x:v>
      </x:c>
      <x:c r="C19" s="106" t="str">
        <x:v>I089</x:v>
      </x:c>
      <x:c r="D19" s="106" t="str">
        <x:v>I089、I090</x:v>
      </x:c>
      <x:c r="E19" s="106" t="n">
        <x:v>1</x:v>
      </x:c>
      <x:c r="F19" s="106" t="str">
        <x:v>合并口罩、手套，保留一条综合生产配方。</x:v>
      </x:c>
    </x:row>
    <x:row r="21" ht="25" customHeight="1">
      <x:c r="A21" s="104" t="str">
        <x:v>删除的旧配方 ID（各配方投入产出已并入保留工序；其余配方名称和上下游已同步修改）</x:v>
      </x:c>
      <x:c r="B21" s="104"/>
      <x:c r="C21" s="104"/>
      <x:c r="D21" s="104"/>
      <x:c r="E21" s="104"/>
      <x:c r="F21" s="104"/>
    </x:row>
    <x:row r="22">
      <x:c r="A22" s="106" t="str">
        <x:v>P017、P031、P042、P046、P048、P051、P056、P071、P083、P084、P087、P100、P102、P104</x:v>
      </x:c>
      <x:c r="B22" s="106"/>
      <x:c r="C22" s="106"/>
      <x:c r="D22" s="106"/>
      <x:c r="E22" s="106"/>
      <x:c r="F22" s="106"/>
    </x:row>
    <x:row r="23">
      <x:c r="A23" s="106" t="str">
        <x:v>数据约定：仍不填写配方数量，所有未合并物品与其他游戏规则尽量维持原表。补全真实材料数量时，可在本版继续扩展。</x:v>
      </x:c>
      <x:c r="B23" s="106"/>
      <x:c r="C23" s="106"/>
      <x:c r="D23" s="106"/>
      <x:c r="E23" s="106"/>
      <x:c r="F23" s="106"/>
    </x:row>
    <x:row r="26">
      <x:c r="A26"/>
    </x:row>
    <x:row r="27">
      <x:c r="A27"/>
    </x:row>
    <x:row r="28">
      <x:c r="A28"/>
    </x:row>
    <x:row r="29">
      <x:c r="A29"/>
    </x:row>
    <x:row r="30">
      <x:c r="A30"/>
    </x:row>
    <x:row r="31">
      <x:c r="A31"/>
    </x:row>
    <x:row r="32">
      <x:c r="A32"/>
    </x:row>
    <x:row r="33">
      <x:c r="A33"/>
    </x:row>
  </x:sheetData>
  <x:mergeCells>
    <x:mergeCell ref="A1:F1"/>
    <x:mergeCell ref="A2:F2"/>
    <x:mergeCell ref="A21:F21"/>
    <x:mergeCell ref="A22:F22"/>
    <x:mergeCell ref="A23:F23"/>
  </x:mergeCells>
  <x:pageMargins left="0.7" right="0.7" top="0.75" bottom="0.75" header="0.3" footer="0.3"/>
</x:worksheet>
</file>